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3AD6A22C-B9AB-41F3-AB7B-F5463B7AD7B2}" xr6:coauthVersionLast="47" xr6:coauthVersionMax="47" xr10:uidLastSave="{00000000-0000-0000-0000-000000000000}"/>
  <bookViews>
    <workbookView xWindow="5760" yWindow="924" windowWidth="17280" windowHeight="8964" xr2:uid="{00000000-000D-0000-FFFF-FFFF00000000}"/>
  </bookViews>
  <sheets>
    <sheet name="DYNASTY GL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2" i="1" l="1"/>
  <c r="Q62" i="1" s="1"/>
  <c r="O62" i="1"/>
  <c r="J62" i="1"/>
  <c r="D62" i="1"/>
  <c r="I62" i="1" s="1"/>
  <c r="P61" i="1"/>
  <c r="Q61" i="1" s="1"/>
  <c r="O61" i="1"/>
  <c r="J61" i="1"/>
  <c r="D61" i="1"/>
  <c r="I61" i="1" s="1"/>
  <c r="P60" i="1"/>
  <c r="Q60" i="1" s="1"/>
  <c r="O60" i="1"/>
  <c r="J60" i="1"/>
  <c r="D60" i="1"/>
  <c r="I60" i="1" s="1"/>
  <c r="P59" i="1"/>
  <c r="Q59" i="1" s="1"/>
  <c r="O59" i="1"/>
  <c r="J59" i="1"/>
  <c r="D59" i="1"/>
  <c r="I59" i="1" s="1"/>
  <c r="P58" i="1"/>
  <c r="Q58" i="1" s="1"/>
  <c r="O58" i="1"/>
  <c r="J58" i="1"/>
  <c r="D58" i="1"/>
  <c r="I58" i="1" s="1"/>
  <c r="P57" i="1"/>
  <c r="Q57" i="1" s="1"/>
  <c r="O57" i="1"/>
  <c r="J57" i="1"/>
  <c r="D57" i="1"/>
  <c r="I57" i="1" s="1"/>
  <c r="P56" i="1"/>
  <c r="Q56" i="1" s="1"/>
  <c r="O56" i="1"/>
  <c r="J56" i="1"/>
  <c r="D56" i="1"/>
  <c r="I56" i="1" s="1"/>
  <c r="P55" i="1"/>
  <c r="Q55" i="1" s="1"/>
  <c r="O55" i="1"/>
  <c r="J55" i="1"/>
  <c r="D55" i="1"/>
  <c r="I55" i="1" s="1"/>
  <c r="P54" i="1"/>
  <c r="Q54" i="1" s="1"/>
  <c r="O54" i="1"/>
  <c r="J54" i="1"/>
  <c r="D54" i="1"/>
  <c r="I54" i="1" s="1"/>
  <c r="P53" i="1"/>
  <c r="Q53" i="1" s="1"/>
  <c r="O53" i="1"/>
  <c r="J53" i="1"/>
  <c r="D53" i="1"/>
  <c r="I53" i="1" s="1"/>
  <c r="P52" i="1"/>
  <c r="Q52" i="1" s="1"/>
  <c r="O52" i="1"/>
  <c r="J52" i="1"/>
  <c r="D52" i="1"/>
  <c r="I52" i="1" s="1"/>
  <c r="P51" i="1"/>
  <c r="Q51" i="1" s="1"/>
  <c r="O51" i="1"/>
  <c r="J51" i="1"/>
  <c r="D51" i="1"/>
  <c r="I51" i="1" s="1"/>
  <c r="P50" i="1"/>
  <c r="Q50" i="1" s="1"/>
  <c r="O50" i="1"/>
  <c r="J50" i="1"/>
  <c r="D50" i="1"/>
  <c r="I50" i="1" s="1"/>
  <c r="P49" i="1"/>
  <c r="Q49" i="1" s="1"/>
  <c r="O49" i="1"/>
  <c r="J49" i="1"/>
  <c r="D49" i="1"/>
  <c r="I49" i="1" s="1"/>
  <c r="P48" i="1"/>
  <c r="Q48" i="1" s="1"/>
  <c r="O48" i="1"/>
  <c r="J48" i="1"/>
  <c r="D48" i="1"/>
  <c r="I48" i="1" s="1"/>
  <c r="P47" i="1"/>
  <c r="Q47" i="1" s="1"/>
  <c r="O47" i="1"/>
  <c r="J47" i="1"/>
  <c r="D47" i="1"/>
  <c r="I47" i="1" s="1"/>
  <c r="P46" i="1"/>
  <c r="Q46" i="1" s="1"/>
  <c r="O46" i="1"/>
  <c r="J46" i="1"/>
  <c r="D46" i="1"/>
  <c r="I46" i="1" s="1"/>
  <c r="P45" i="1"/>
  <c r="Q45" i="1" s="1"/>
  <c r="O45" i="1"/>
  <c r="J45" i="1"/>
  <c r="D45" i="1"/>
  <c r="I45" i="1" s="1"/>
  <c r="P44" i="1"/>
  <c r="Q44" i="1" s="1"/>
  <c r="O44" i="1"/>
  <c r="J44" i="1"/>
  <c r="D44" i="1"/>
  <c r="I44" i="1" s="1"/>
  <c r="P43" i="1"/>
  <c r="Q43" i="1" s="1"/>
  <c r="O43" i="1"/>
  <c r="J43" i="1"/>
  <c r="D43" i="1"/>
  <c r="I43" i="1" s="1"/>
  <c r="P42" i="1"/>
  <c r="Q42" i="1" s="1"/>
  <c r="O42" i="1"/>
  <c r="J42" i="1"/>
  <c r="D42" i="1"/>
  <c r="I42" i="1" s="1"/>
  <c r="P41" i="1"/>
  <c r="Q41" i="1" s="1"/>
  <c r="O41" i="1"/>
  <c r="J41" i="1"/>
  <c r="D41" i="1"/>
  <c r="I41" i="1" s="1"/>
  <c r="P40" i="1"/>
  <c r="Q40" i="1" s="1"/>
  <c r="O40" i="1"/>
  <c r="J40" i="1"/>
  <c r="D40" i="1"/>
  <c r="I40" i="1" s="1"/>
  <c r="P39" i="1"/>
  <c r="Q39" i="1" s="1"/>
  <c r="O39" i="1"/>
  <c r="J39" i="1"/>
  <c r="D39" i="1"/>
  <c r="I39" i="1" s="1"/>
  <c r="P38" i="1"/>
  <c r="Q38" i="1" s="1"/>
  <c r="O38" i="1"/>
  <c r="J38" i="1"/>
  <c r="D38" i="1"/>
  <c r="I38" i="1" s="1"/>
  <c r="P37" i="1"/>
  <c r="Q37" i="1" s="1"/>
  <c r="O37" i="1"/>
  <c r="J37" i="1"/>
  <c r="D37" i="1"/>
  <c r="I37" i="1" s="1"/>
  <c r="P36" i="1"/>
  <c r="Q36" i="1" s="1"/>
  <c r="O36" i="1"/>
  <c r="J36" i="1"/>
  <c r="D36" i="1"/>
  <c r="I36" i="1" s="1"/>
  <c r="P35" i="1"/>
  <c r="Q35" i="1" s="1"/>
  <c r="O35" i="1"/>
  <c r="J35" i="1"/>
  <c r="D35" i="1"/>
  <c r="I35" i="1" s="1"/>
  <c r="P34" i="1"/>
  <c r="Q34" i="1" s="1"/>
  <c r="O34" i="1"/>
  <c r="J34" i="1"/>
  <c r="D34" i="1"/>
  <c r="I34" i="1" s="1"/>
  <c r="P33" i="1"/>
  <c r="Q33" i="1" s="1"/>
  <c r="O33" i="1"/>
  <c r="J33" i="1"/>
  <c r="D33" i="1"/>
  <c r="I33" i="1" s="1"/>
  <c r="P32" i="1"/>
  <c r="Q32" i="1" s="1"/>
  <c r="O32" i="1"/>
  <c r="J32" i="1"/>
  <c r="D32" i="1"/>
  <c r="I32" i="1" s="1"/>
  <c r="P31" i="1"/>
  <c r="Q31" i="1" s="1"/>
  <c r="O31" i="1"/>
  <c r="J31" i="1"/>
  <c r="D31" i="1"/>
  <c r="I31" i="1" s="1"/>
  <c r="P30" i="1"/>
  <c r="Q30" i="1" s="1"/>
  <c r="O30" i="1"/>
  <c r="J30" i="1"/>
  <c r="D30" i="1"/>
  <c r="I30" i="1" s="1"/>
  <c r="P29" i="1"/>
  <c r="Q29" i="1" s="1"/>
  <c r="O29" i="1"/>
  <c r="J29" i="1"/>
  <c r="D29" i="1"/>
  <c r="I29" i="1" s="1"/>
  <c r="P28" i="1"/>
  <c r="Q28" i="1" s="1"/>
  <c r="O28" i="1"/>
  <c r="J28" i="1"/>
  <c r="D28" i="1"/>
  <c r="I28" i="1" s="1"/>
  <c r="P27" i="1"/>
  <c r="Q27" i="1" s="1"/>
  <c r="O27" i="1"/>
  <c r="J27" i="1"/>
  <c r="D27" i="1"/>
  <c r="I27" i="1" s="1"/>
  <c r="P26" i="1"/>
  <c r="Q26" i="1" s="1"/>
  <c r="O26" i="1"/>
  <c r="J26" i="1"/>
  <c r="D26" i="1"/>
  <c r="I26" i="1" s="1"/>
  <c r="P25" i="1"/>
  <c r="Q25" i="1" s="1"/>
  <c r="O25" i="1"/>
  <c r="J25" i="1"/>
  <c r="D25" i="1"/>
  <c r="I25" i="1" s="1"/>
  <c r="P24" i="1"/>
  <c r="Q24" i="1" s="1"/>
  <c r="O24" i="1"/>
  <c r="J24" i="1"/>
  <c r="D24" i="1"/>
  <c r="I24" i="1" s="1"/>
  <c r="P23" i="1"/>
  <c r="Q23" i="1" s="1"/>
  <c r="O23" i="1"/>
  <c r="J23" i="1"/>
  <c r="D23" i="1"/>
  <c r="I23" i="1" s="1"/>
  <c r="P22" i="1"/>
  <c r="Q22" i="1" s="1"/>
  <c r="O22" i="1"/>
  <c r="J22" i="1"/>
  <c r="D22" i="1"/>
  <c r="I22" i="1" s="1"/>
  <c r="P21" i="1"/>
  <c r="Q21" i="1" s="1"/>
  <c r="O21" i="1"/>
  <c r="J21" i="1"/>
  <c r="D21" i="1"/>
  <c r="I21" i="1" s="1"/>
  <c r="P20" i="1"/>
  <c r="Q20" i="1" s="1"/>
  <c r="O20" i="1"/>
  <c r="J20" i="1"/>
  <c r="D20" i="1"/>
  <c r="I20" i="1" s="1"/>
  <c r="P19" i="1"/>
  <c r="Q19" i="1" s="1"/>
  <c r="O19" i="1"/>
  <c r="J19" i="1"/>
  <c r="D19" i="1"/>
  <c r="I19" i="1" s="1"/>
  <c r="P18" i="1"/>
  <c r="Q18" i="1" s="1"/>
  <c r="O18" i="1"/>
  <c r="J18" i="1"/>
  <c r="D18" i="1"/>
  <c r="I18" i="1" s="1"/>
  <c r="P17" i="1"/>
  <c r="Q17" i="1" s="1"/>
  <c r="O17" i="1"/>
  <c r="J17" i="1"/>
  <c r="D17" i="1"/>
  <c r="I17" i="1" s="1"/>
  <c r="P16" i="1"/>
  <c r="Q16" i="1" s="1"/>
  <c r="O16" i="1"/>
  <c r="J16" i="1"/>
  <c r="D16" i="1"/>
  <c r="I16" i="1" s="1"/>
  <c r="P15" i="1"/>
  <c r="Q15" i="1" s="1"/>
  <c r="O15" i="1"/>
  <c r="J15" i="1"/>
  <c r="D15" i="1"/>
  <c r="I15" i="1" s="1"/>
  <c r="P14" i="1"/>
  <c r="Q14" i="1" s="1"/>
  <c r="O14" i="1"/>
  <c r="J14" i="1"/>
  <c r="D14" i="1"/>
  <c r="I14" i="1" s="1"/>
  <c r="P13" i="1"/>
  <c r="Q13" i="1" s="1"/>
  <c r="O13" i="1"/>
  <c r="J13" i="1"/>
  <c r="D13" i="1"/>
  <c r="I13" i="1" s="1"/>
  <c r="P12" i="1"/>
  <c r="Q12" i="1" s="1"/>
  <c r="O12" i="1"/>
  <c r="J12" i="1"/>
  <c r="D12" i="1"/>
  <c r="I12" i="1" s="1"/>
  <c r="P11" i="1"/>
  <c r="Q11" i="1" s="1"/>
  <c r="O11" i="1"/>
  <c r="J11" i="1"/>
  <c r="D11" i="1"/>
  <c r="I11" i="1" s="1"/>
  <c r="P10" i="1"/>
  <c r="Q10" i="1" s="1"/>
  <c r="O10" i="1"/>
  <c r="J10" i="1"/>
  <c r="D10" i="1"/>
  <c r="I10" i="1" s="1"/>
  <c r="P9" i="1"/>
  <c r="Q9" i="1" s="1"/>
  <c r="O9" i="1"/>
  <c r="J9" i="1"/>
  <c r="D9" i="1"/>
  <c r="I9" i="1" s="1"/>
  <c r="P8" i="1"/>
  <c r="Q8" i="1" s="1"/>
  <c r="O8" i="1"/>
  <c r="J8" i="1"/>
  <c r="D8" i="1"/>
  <c r="I8" i="1" s="1"/>
  <c r="P7" i="1"/>
  <c r="Q7" i="1" s="1"/>
  <c r="O7" i="1"/>
  <c r="J7" i="1"/>
  <c r="D7" i="1"/>
  <c r="I7" i="1" s="1"/>
  <c r="P6" i="1"/>
  <c r="Q6" i="1" s="1"/>
  <c r="O6" i="1"/>
  <c r="J6" i="1"/>
  <c r="D6" i="1"/>
  <c r="I6" i="1" s="1"/>
  <c r="P5" i="1"/>
  <c r="Q5" i="1" s="1"/>
  <c r="O5" i="1"/>
  <c r="J5" i="1"/>
  <c r="D5" i="1"/>
  <c r="I5" i="1" s="1"/>
  <c r="P4" i="1"/>
  <c r="Q4" i="1" s="1"/>
  <c r="O4" i="1"/>
  <c r="J4" i="1"/>
  <c r="D4" i="1"/>
  <c r="I4" i="1" s="1"/>
  <c r="P3" i="1"/>
  <c r="P1" i="1" s="1"/>
  <c r="O3" i="1"/>
  <c r="J3" i="1"/>
  <c r="D3" i="1"/>
  <c r="L1" i="1"/>
  <c r="K1" i="1"/>
  <c r="H1" i="1"/>
  <c r="G1" i="1"/>
  <c r="F1" i="1"/>
  <c r="E1" i="1"/>
  <c r="Q3" i="1" l="1"/>
  <c r="M1" i="1"/>
  <c r="J1" i="1"/>
  <c r="C1" i="1"/>
  <c r="I1" i="1" s="1"/>
  <c r="I3" i="1"/>
</calcChain>
</file>

<file path=xl/sharedStrings.xml><?xml version="1.0" encoding="utf-8"?>
<sst xmlns="http://schemas.openxmlformats.org/spreadsheetml/2006/main" count="27" uniqueCount="27">
  <si>
    <t>بروز شده تاترید</t>
  </si>
  <si>
    <t>pips all</t>
  </si>
  <si>
    <t>100-TRAD WINNER</t>
  </si>
  <si>
    <t>رتبه</t>
  </si>
  <si>
    <t>TEAM</t>
  </si>
  <si>
    <t>NEAM</t>
  </si>
  <si>
    <t>play</t>
  </si>
  <si>
    <t>SL</t>
  </si>
  <si>
    <t>RISK</t>
  </si>
  <si>
    <t>CLOSE</t>
  </si>
  <si>
    <t>TP</t>
  </si>
  <si>
    <t>WIN%</t>
  </si>
  <si>
    <t>R/R</t>
  </si>
  <si>
    <t>pips-</t>
  </si>
  <si>
    <t>pips+</t>
  </si>
  <si>
    <t>profit-</t>
  </si>
  <si>
    <t>profit+</t>
  </si>
  <si>
    <t>$</t>
  </si>
  <si>
    <t>PIPS</t>
  </si>
  <si>
    <t>POINT</t>
  </si>
  <si>
    <t>HDM</t>
  </si>
  <si>
    <t>HDR</t>
  </si>
  <si>
    <t>75-TRAD WINNER</t>
  </si>
  <si>
    <t>A1</t>
  </si>
  <si>
    <t>LK-A1</t>
  </si>
  <si>
    <t>50-TRAD WINNER</t>
  </si>
  <si>
    <t>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</si>
</sst>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-_ ;_ * #,##0.00\-_ ;_ * &quot;-&quot;??_-_ ;_ @_ "/>
    <numFmt numFmtId="164" formatCode="0.0"/>
    <numFmt numFmtId="165" formatCode="_-[$$-409]* #,##0_ ;_-[$$-409]* \-#,##0\ ;_-[$$-409]* &quot;-&quot;??_ ;_-@_ 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0"/>
      <name val="Bernard MT Condensed"/>
      <family val="1"/>
    </font>
    <font>
      <sz val="12"/>
      <color theme="1"/>
      <name val="Bernard MT Condensed"/>
      <family val="1"/>
    </font>
    <font>
      <sz val="16"/>
      <color rgb="FFFFC000"/>
      <name val="Bernard MT Condensed"/>
      <family val="1"/>
    </font>
    <font>
      <sz val="16"/>
      <color rgb="FF00B050"/>
      <name val="Bernard MT Condensed"/>
      <family val="1"/>
    </font>
    <font>
      <sz val="28"/>
      <color theme="1"/>
      <name val="Bernard MT Condensed"/>
      <family val="1"/>
    </font>
    <font>
      <sz val="22"/>
      <color theme="1"/>
      <name val="Bernard MT Condensed"/>
      <family val="1"/>
    </font>
    <font>
      <sz val="20"/>
      <color theme="1"/>
      <name val="Bernard MT Condensed"/>
      <family val="1"/>
    </font>
    <font>
      <sz val="20"/>
      <color theme="5"/>
      <name val="Bernard MT Condensed"/>
      <family val="1"/>
    </font>
    <font>
      <sz val="20"/>
      <color theme="0"/>
      <name val="Bernard MT Condensed"/>
      <family val="1"/>
    </font>
    <font>
      <b/>
      <sz val="14"/>
      <color theme="1"/>
      <name val="Calibri"/>
      <family val="2"/>
      <scheme val="minor"/>
    </font>
    <font>
      <sz val="24"/>
      <color theme="0"/>
      <name val="Bernard MT Condensed"/>
      <family val="1"/>
    </font>
    <font>
      <sz val="14"/>
      <color theme="0"/>
      <name val="Bernard MT Condensed"/>
      <family val="1"/>
    </font>
    <font>
      <sz val="14"/>
      <color theme="1" tint="4.9989318521683403E-2"/>
      <name val="Bernard MT Condensed"/>
      <family val="1"/>
    </font>
    <font>
      <sz val="11"/>
      <color theme="1" tint="4.9989318521683403E-2"/>
      <name val="Bernard MT Condensed"/>
      <family val="1"/>
    </font>
    <font>
      <sz val="22"/>
      <color theme="0"/>
      <name val="Bernard MT Condensed"/>
      <family val="1"/>
    </font>
    <font>
      <sz val="24"/>
      <color rgb="FFFFC000"/>
      <name val="Bernard MT Condensed"/>
      <family val="1"/>
    </font>
    <font>
      <sz val="24"/>
      <color theme="9" tint="0.39997558519241921"/>
      <name val="Bernard MT Condensed"/>
      <family val="1"/>
    </font>
    <font>
      <sz val="48"/>
      <color rgb="FF00B050"/>
      <name val="Niagara Engraved"/>
      <family val="5"/>
    </font>
    <font>
      <sz val="14"/>
      <color theme="1"/>
      <name val="Calibri"/>
      <family val="2"/>
      <scheme val="minor"/>
    </font>
    <font>
      <b/>
      <sz val="16"/>
      <color theme="1"/>
      <name val="Baskerville Old Face"/>
      <family val="1"/>
    </font>
    <font>
      <b/>
      <sz val="14"/>
      <color theme="0"/>
      <name val="Calibri"/>
      <family val="2"/>
      <scheme val="minor"/>
    </font>
    <font>
      <sz val="14"/>
      <color theme="1"/>
      <name val="Bernard MT Condensed"/>
      <family val="1"/>
    </font>
    <font>
      <b/>
      <sz val="22"/>
      <color rgb="FFFF0000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48"/>
      <color rgb="FF00B0F0"/>
      <name val="Niagara Engraved"/>
      <family val="5"/>
    </font>
    <font>
      <b/>
      <sz val="26"/>
      <color rgb="FFFF0000"/>
      <name val="Calibri"/>
      <family val="2"/>
      <scheme val="minor"/>
    </font>
    <font>
      <b/>
      <sz val="26"/>
      <color theme="9" tint="-0.249977111117893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Baskerville Old Face"/>
      <family val="1"/>
    </font>
    <font>
      <sz val="48"/>
      <color theme="1"/>
      <name val="Niagara Engraved"/>
      <family val="5"/>
    </font>
    <font>
      <sz val="36"/>
      <color theme="1"/>
      <name val="Niagara Engraved"/>
      <family val="5"/>
    </font>
    <font>
      <b/>
      <sz val="14"/>
      <color theme="1"/>
      <name val="Baskerville Old Face"/>
      <family val="1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1" fontId="4" fillId="4" borderId="4" xfId="0" applyNumberFormat="1" applyFont="1" applyFill="1" applyBorder="1" applyAlignment="1">
      <alignment horizontal="center" vertical="center"/>
    </xf>
    <xf numFmtId="1" fontId="4" fillId="5" borderId="4" xfId="0" applyNumberFormat="1" applyFont="1" applyFill="1" applyBorder="1" applyAlignment="1">
      <alignment horizontal="center" vertical="center"/>
    </xf>
    <xf numFmtId="1" fontId="4" fillId="6" borderId="4" xfId="0" applyNumberFormat="1" applyFont="1" applyFill="1" applyBorder="1" applyAlignment="1">
      <alignment horizontal="center" vertical="center"/>
    </xf>
    <xf numFmtId="1" fontId="4" fillId="7" borderId="4" xfId="0" applyNumberFormat="1" applyFont="1" applyFill="1" applyBorder="1" applyAlignment="1">
      <alignment horizontal="center" vertical="center"/>
    </xf>
    <xf numFmtId="164" fontId="4" fillId="8" borderId="4" xfId="0" applyNumberFormat="1" applyFont="1" applyFill="1" applyBorder="1" applyAlignment="1">
      <alignment horizontal="center" vertical="center"/>
    </xf>
    <xf numFmtId="1" fontId="5" fillId="8" borderId="4" xfId="0" applyNumberFormat="1" applyFont="1" applyFill="1" applyBorder="1" applyAlignment="1">
      <alignment horizontal="center" vertical="center"/>
    </xf>
    <xf numFmtId="1" fontId="6" fillId="8" borderId="5" xfId="0" applyNumberFormat="1" applyFont="1" applyFill="1" applyBorder="1" applyAlignment="1">
      <alignment horizontal="center" vertical="center"/>
    </xf>
    <xf numFmtId="1" fontId="8" fillId="5" borderId="9" xfId="0" applyNumberFormat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15" fillId="7" borderId="14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8" fillId="11" borderId="19" xfId="0" applyFont="1" applyFill="1" applyBorder="1" applyAlignment="1">
      <alignment horizontal="center" vertical="center"/>
    </xf>
    <xf numFmtId="0" fontId="19" fillId="11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0" fillId="12" borderId="25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" fontId="23" fillId="3" borderId="27" xfId="0" applyNumberFormat="1" applyFont="1" applyFill="1" applyBorder="1" applyAlignment="1">
      <alignment horizontal="center" vertical="center"/>
    </xf>
    <xf numFmtId="1" fontId="12" fillId="4" borderId="28" xfId="0" applyNumberFormat="1" applyFont="1" applyFill="1" applyBorder="1" applyAlignment="1">
      <alignment horizontal="center" vertical="center"/>
    </xf>
    <xf numFmtId="1" fontId="12" fillId="5" borderId="28" xfId="0" applyNumberFormat="1" applyFont="1" applyFill="1" applyBorder="1" applyAlignment="1">
      <alignment horizontal="center" vertical="center"/>
    </xf>
    <xf numFmtId="1" fontId="12" fillId="6" borderId="28" xfId="0" applyNumberFormat="1" applyFont="1" applyFill="1" applyBorder="1" applyAlignment="1">
      <alignment horizontal="center" vertical="center"/>
    </xf>
    <xf numFmtId="1" fontId="12" fillId="7" borderId="28" xfId="0" applyNumberFormat="1" applyFont="1" applyFill="1" applyBorder="1" applyAlignment="1">
      <alignment horizontal="center" vertical="center"/>
    </xf>
    <xf numFmtId="1" fontId="24" fillId="0" borderId="29" xfId="0" applyNumberFormat="1" applyFont="1" applyBorder="1" applyAlignment="1">
      <alignment horizontal="center" vertical="center"/>
    </xf>
    <xf numFmtId="1" fontId="12" fillId="0" borderId="30" xfId="0" applyNumberFormat="1" applyFont="1" applyBorder="1" applyAlignment="1">
      <alignment horizontal="center" vertical="center"/>
    </xf>
    <xf numFmtId="1" fontId="12" fillId="0" borderId="31" xfId="0" applyNumberFormat="1" applyFont="1" applyBorder="1" applyAlignment="1">
      <alignment horizontal="center" vertical="center"/>
    </xf>
    <xf numFmtId="165" fontId="25" fillId="0" borderId="32" xfId="1" applyNumberFormat="1" applyFont="1" applyBorder="1" applyAlignment="1">
      <alignment horizontal="center" vertical="center"/>
    </xf>
    <xf numFmtId="165" fontId="26" fillId="0" borderId="33" xfId="1" applyNumberFormat="1" applyFont="1" applyBorder="1" applyAlignment="1">
      <alignment horizontal="center" vertical="center"/>
    </xf>
    <xf numFmtId="165" fontId="27" fillId="0" borderId="34" xfId="1" applyNumberFormat="1" applyFont="1" applyBorder="1" applyAlignment="1">
      <alignment horizontal="center" vertical="center"/>
    </xf>
    <xf numFmtId="1" fontId="24" fillId="0" borderId="27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1" fillId="5" borderId="29" xfId="0" applyFont="1" applyFill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1" fontId="23" fillId="3" borderId="41" xfId="0" applyNumberFormat="1" applyFont="1" applyFill="1" applyBorder="1" applyAlignment="1">
      <alignment horizontal="center" vertical="center"/>
    </xf>
    <xf numFmtId="1" fontId="12" fillId="4" borderId="29" xfId="0" applyNumberFormat="1" applyFont="1" applyFill="1" applyBorder="1" applyAlignment="1">
      <alignment horizontal="center" vertical="center"/>
    </xf>
    <xf numFmtId="1" fontId="12" fillId="5" borderId="29" xfId="0" applyNumberFormat="1" applyFont="1" applyFill="1" applyBorder="1" applyAlignment="1">
      <alignment horizontal="center" vertical="center"/>
    </xf>
    <xf numFmtId="1" fontId="12" fillId="6" borderId="29" xfId="0" applyNumberFormat="1" applyFont="1" applyFill="1" applyBorder="1" applyAlignment="1">
      <alignment horizontal="center" vertical="center"/>
    </xf>
    <xf numFmtId="1" fontId="12" fillId="7" borderId="29" xfId="0" applyNumberFormat="1" applyFont="1" applyFill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0" borderId="43" xfId="0" applyNumberFormat="1" applyFont="1" applyBorder="1" applyAlignment="1">
      <alignment horizontal="center" vertical="center"/>
    </xf>
    <xf numFmtId="165" fontId="25" fillId="0" borderId="39" xfId="1" applyNumberFormat="1" applyFont="1" applyBorder="1" applyAlignment="1">
      <alignment horizontal="center" vertical="center"/>
    </xf>
    <xf numFmtId="165" fontId="26" fillId="0" borderId="44" xfId="1" applyNumberFormat="1" applyFont="1" applyBorder="1" applyAlignment="1">
      <alignment horizontal="center" vertical="center"/>
    </xf>
    <xf numFmtId="165" fontId="27" fillId="0" borderId="40" xfId="1" applyNumberFormat="1" applyFont="1" applyBorder="1" applyAlignment="1">
      <alignment horizontal="center" vertical="center"/>
    </xf>
    <xf numFmtId="1" fontId="24" fillId="0" borderId="41" xfId="0" applyNumberFormat="1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20" fillId="12" borderId="39" xfId="0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165" fontId="29" fillId="0" borderId="39" xfId="1" applyNumberFormat="1" applyFont="1" applyBorder="1" applyAlignment="1">
      <alignment horizontal="center" vertical="center"/>
    </xf>
    <xf numFmtId="165" fontId="30" fillId="0" borderId="44" xfId="1" applyNumberFormat="1" applyFont="1" applyBorder="1" applyAlignment="1">
      <alignment horizontal="center" vertical="center"/>
    </xf>
    <xf numFmtId="165" fontId="31" fillId="0" borderId="40" xfId="1" applyNumberFormat="1" applyFont="1" applyBorder="1" applyAlignment="1">
      <alignment horizontal="center" vertical="center"/>
    </xf>
    <xf numFmtId="0" fontId="28" fillId="12" borderId="39" xfId="0" applyFont="1" applyFill="1" applyBorder="1" applyAlignment="1">
      <alignment horizontal="center" vertical="center"/>
    </xf>
    <xf numFmtId="0" fontId="32" fillId="0" borderId="40" xfId="0" applyFont="1" applyBorder="1" applyAlignment="1">
      <alignment horizontal="center" vertical="center"/>
    </xf>
    <xf numFmtId="0" fontId="33" fillId="0" borderId="39" xfId="0" applyFont="1" applyBorder="1" applyAlignment="1">
      <alignment horizontal="center" vertical="center"/>
    </xf>
    <xf numFmtId="0" fontId="33" fillId="12" borderId="3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34" fillId="12" borderId="39" xfId="0" applyFont="1" applyFill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21" fillId="5" borderId="46" xfId="0" applyFont="1" applyFill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1" fontId="12" fillId="4" borderId="47" xfId="0" applyNumberFormat="1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 vertical="center"/>
    </xf>
    <xf numFmtId="1" fontId="12" fillId="0" borderId="48" xfId="0" applyNumberFormat="1" applyFont="1" applyBorder="1" applyAlignment="1">
      <alignment horizontal="center" vertical="center"/>
    </xf>
    <xf numFmtId="1" fontId="12" fillId="0" borderId="49" xfId="0" applyNumberFormat="1" applyFont="1" applyBorder="1" applyAlignment="1">
      <alignment horizontal="center" vertical="center"/>
    </xf>
    <xf numFmtId="165" fontId="29" fillId="0" borderId="19" xfId="1" applyNumberFormat="1" applyFont="1" applyBorder="1" applyAlignment="1">
      <alignment horizontal="center" vertical="center"/>
    </xf>
    <xf numFmtId="165" fontId="30" fillId="0" borderId="50" xfId="1" applyNumberFormat="1" applyFont="1" applyBorder="1" applyAlignment="1">
      <alignment horizontal="center" vertical="center"/>
    </xf>
    <xf numFmtId="165" fontId="31" fillId="0" borderId="20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11" borderId="0" xfId="0" applyFont="1" applyFill="1" applyAlignment="1">
      <alignment horizontal="center" vertical="center" textRotation="90"/>
    </xf>
    <xf numFmtId="0" fontId="11" fillId="11" borderId="24" xfId="0" applyFont="1" applyFill="1" applyBorder="1" applyAlignment="1">
      <alignment horizontal="center" vertical="center" textRotation="90"/>
    </xf>
    <xf numFmtId="0" fontId="11" fillId="13" borderId="0" xfId="0" applyFont="1" applyFill="1" applyAlignment="1">
      <alignment horizontal="center" vertical="center" textRotation="90"/>
    </xf>
    <xf numFmtId="0" fontId="11" fillId="13" borderId="24" xfId="0" applyFont="1" applyFill="1" applyBorder="1" applyAlignment="1">
      <alignment horizontal="center" vertical="center" textRotation="90"/>
    </xf>
    <xf numFmtId="0" fontId="11" fillId="13" borderId="38" xfId="0" applyFont="1" applyFill="1" applyBorder="1" applyAlignment="1">
      <alignment horizontal="center" vertical="center" textRotation="90"/>
    </xf>
    <xf numFmtId="0" fontId="11" fillId="13" borderId="37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43" fontId="7" fillId="8" borderId="6" xfId="1" applyFont="1" applyFill="1" applyBorder="1" applyAlignment="1">
      <alignment horizontal="center" vertical="center"/>
    </xf>
    <xf numFmtId="43" fontId="7" fillId="8" borderId="7" xfId="1" applyFont="1" applyFill="1" applyBorder="1" applyAlignment="1">
      <alignment horizontal="center" vertical="center"/>
    </xf>
    <xf numFmtId="43" fontId="7" fillId="8" borderId="8" xfId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0" fillId="5" borderId="36" xfId="0" applyFont="1" applyFill="1" applyBorder="1" applyAlignment="1">
      <alignment horizontal="center" vertical="center"/>
    </xf>
    <xf numFmtId="0" fontId="10" fillId="5" borderId="37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38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textRotation="90"/>
    </xf>
    <xf numFmtId="0" fontId="11" fillId="9" borderId="10" xfId="0" applyFont="1" applyFill="1" applyBorder="1" applyAlignment="1">
      <alignment horizontal="center" vertical="center" textRotation="90"/>
    </xf>
    <xf numFmtId="0" fontId="11" fillId="9" borderId="0" xfId="0" applyFont="1" applyFill="1" applyAlignment="1">
      <alignment horizontal="center" vertical="center" textRotation="90"/>
    </xf>
    <xf numFmtId="0" fontId="11" fillId="9" borderId="24" xfId="0" applyFont="1" applyFill="1" applyBorder="1" applyAlignment="1">
      <alignment horizontal="center" vertical="center" textRotation="90"/>
    </xf>
  </cellXfs>
  <cellStyles count="2">
    <cellStyle name="Comma" xfId="1" builtinId="3"/>
    <cellStyle name="Normal" xfId="0" builtinId="0"/>
  </cellStyles>
  <dxfs count="29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Bernard MT Condensed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ernard MT Condensed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minor"/>
      </font>
      <numFmt numFmtId="165" formatCode="_-[$$-409]* #,##0_ ;_-[$$-409]* \-#,##0\ ;_-[$$-409]* &quot;-&quot;??_ ;_-@_ 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9" tint="-0.249977111117893"/>
        <name val="Calibri"/>
        <family val="2"/>
        <scheme val="minor"/>
      </font>
      <numFmt numFmtId="165" formatCode="_-[$$-409]* #,##0_ ;_-[$$-409]* \-#,##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rgb="FFFF0000"/>
        <name val="Calibri"/>
        <family val="2"/>
        <scheme val="minor"/>
      </font>
      <numFmt numFmtId="165" formatCode="_-[$$-409]* #,##0_ ;_-[$$-409]* \-#,##0\ ;_-[$$-409]* &quot;-&quot;??_ ;_-@_ 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dashed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dashed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ernard MT Condensed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Bernard MT Condensed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Baskerville Old Face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family val="1"/>
      </font>
    </dxf>
    <dxf>
      <border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theme="0"/>
        <name val="Bernard MT Condensed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78483-8610-429D-9615-CF33284A3F0C}" name="Table2" displayName="Table2" ref="B2:Q62" totalsRowShown="0" headerRowDxfId="28" dataDxfId="26" headerRowBorderDxfId="27" tableBorderDxfId="25" totalsRowBorderDxfId="24">
  <autoFilter ref="B2:Q62" xr:uid="{05678483-8610-429D-9615-CF33284A3F0C}"/>
  <sortState xmlns:xlrd2="http://schemas.microsoft.com/office/spreadsheetml/2017/richdata2" ref="B3:Q62">
    <sortCondition descending="1" ref="Q3:Q62"/>
  </sortState>
  <tableColumns count="16">
    <tableColumn id="1" xr3:uid="{192E50BD-2290-4EC1-98F7-7B2E34859B26}" name="TEAM" dataDxfId="23"/>
    <tableColumn id="2" xr3:uid="{02EA4F78-5211-428A-B0C4-44F29F9A4F84}" name="NEAM" dataDxfId="22"/>
    <tableColumn id="3" xr3:uid="{5E6820B5-A438-4A6D-B1EF-C32FAF7B6194}" name="play" dataDxfId="21">
      <calculatedColumnFormula>SUM(Table2[[#This Row],[SL]:[TP]])</calculatedColumnFormula>
    </tableColumn>
    <tableColumn id="4" xr3:uid="{30A1B8CB-0C95-4D8B-9A0C-B20057E04A5D}" name="SL" dataDxfId="20"/>
    <tableColumn id="5" xr3:uid="{E83E5F58-264B-48DE-B712-D495CE49E0CB}" name="RISK" dataDxfId="19"/>
    <tableColumn id="14" xr3:uid="{C1617E66-6C19-4B43-B076-F3A84C15DFA8}" name="CLOSE" dataDxfId="18"/>
    <tableColumn id="6" xr3:uid="{8CA7AE45-187F-4970-9295-69E4B30B7684}" name="TP" dataDxfId="17"/>
    <tableColumn id="7" xr3:uid="{C730E27C-03C1-4651-8F5F-11F600DFFC3D}" name="WIN%" dataDxfId="16">
      <calculatedColumnFormula>IF(D3=0, 0, (H3/D3)*100)</calculatedColumnFormula>
    </tableColumn>
    <tableColumn id="13" xr3:uid="{5C72016F-BA90-47FB-BC77-68B72B2860C5}" name="R/R" dataDxfId="15">
      <calculatedColumnFormula>IFERROR(Table2[[#This Row],[pips+]]/Table2[[#This Row],[pips-]], 0)</calculatedColumnFormula>
    </tableColumn>
    <tableColumn id="8" xr3:uid="{569B2837-70A5-4375-B362-BDC2A4962820}" name="pips-" dataDxfId="14"/>
    <tableColumn id="9" xr3:uid="{10B3F6D7-DFEA-4A28-B8CC-657A8F12E819}" name="pips+" dataDxfId="13"/>
    <tableColumn id="15" xr3:uid="{A79DF259-79D3-46E1-8734-A23828B88CE5}" name="profit-" dataDxfId="12" dataCellStyle="Comma"/>
    <tableColumn id="16" xr3:uid="{F93FAF65-DB23-46D2-83BB-B573237241F8}" name="profit+" dataDxfId="11" dataCellStyle="Comma"/>
    <tableColumn id="12" xr3:uid="{A0D10E33-8E28-4371-AFB6-472CE1045BDD}" name="$" dataDxfId="10" dataCellStyle="Comma">
      <calculatedColumnFormula>Table2[[#This Row],[profit+]]-Table2[[#This Row],[profit-]]</calculatedColumnFormula>
    </tableColumn>
    <tableColumn id="10" xr3:uid="{099E4D76-DD33-4AAF-A5FD-2FC34B04A4DD}" name="PIPS" dataDxfId="9">
      <calculatedColumnFormula>SUM(L3-K3)</calculatedColumnFormula>
    </tableColumn>
    <tableColumn id="11" xr3:uid="{44DABA17-1C91-4EF0-A1FA-C43CA94089A5}" name="POINT" dataDxfId="8">
      <calculatedColumnFormula>Table2[[#This Row],[PIPS]]+(Table2[[#This Row],[TP]]*5)+(Table2[[#This Row],[CLOSE]]*2)-Table2[[#This Row],[SL]]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"/>
  <sheetViews>
    <sheetView rightToLeft="1" tabSelected="1" zoomScale="70" zoomScaleNormal="70" workbookViewId="0">
      <selection activeCell="N4" sqref="N4"/>
    </sheetView>
  </sheetViews>
  <sheetFormatPr defaultColWidth="8.88671875" defaultRowHeight="14.4" x14ac:dyDescent="0.3"/>
  <cols>
    <col min="1" max="1" width="11.21875" style="10" customWidth="1"/>
    <col min="2" max="2" width="17.44140625" style="10" customWidth="1"/>
    <col min="3" max="3" width="20.33203125" style="10" customWidth="1"/>
    <col min="4" max="4" width="6.33203125" style="10" customWidth="1"/>
    <col min="5" max="8" width="7.33203125" style="10" customWidth="1"/>
    <col min="9" max="10" width="6.88671875" style="10" customWidth="1"/>
    <col min="11" max="12" width="11.33203125" style="10" customWidth="1"/>
    <col min="13" max="15" width="16.6640625" style="10" customWidth="1"/>
    <col min="16" max="17" width="13.44140625" style="10" customWidth="1"/>
    <col min="18" max="16384" width="8.88671875" style="10"/>
  </cols>
  <sheetData>
    <row r="1" spans="1:25" ht="34.5" customHeight="1" x14ac:dyDescent="0.3">
      <c r="A1" s="95" t="s">
        <v>0</v>
      </c>
      <c r="B1" s="96"/>
      <c r="C1" s="97">
        <f>SUM(Table2[play])</f>
        <v>0</v>
      </c>
      <c r="D1" s="98"/>
      <c r="E1" s="1">
        <f>SUM(Table2[SL])</f>
        <v>0</v>
      </c>
      <c r="F1" s="2">
        <f>SUM(Table2[RISK])</f>
        <v>0</v>
      </c>
      <c r="G1" s="3">
        <f>SUM(Table2[CLOSE])</f>
        <v>0</v>
      </c>
      <c r="H1" s="4">
        <f>SUM(Table2[TP])</f>
        <v>0</v>
      </c>
      <c r="I1" s="5">
        <f>IF(C1=0, 0, (H1/C1)*100)</f>
        <v>0</v>
      </c>
      <c r="J1" s="5">
        <f>IFERROR(L1/K1, 0)</f>
        <v>0</v>
      </c>
      <c r="K1" s="6">
        <f>SUM(Table2[pips-])</f>
        <v>0</v>
      </c>
      <c r="L1" s="7">
        <f>SUM(Table2[pips+])</f>
        <v>0</v>
      </c>
      <c r="M1" s="99">
        <f>SUM(Table2[$])</f>
        <v>0</v>
      </c>
      <c r="N1" s="100"/>
      <c r="O1" s="101"/>
      <c r="P1" s="8">
        <f>SUM(Table2[PIPS])</f>
        <v>0</v>
      </c>
      <c r="Q1" s="9" t="s">
        <v>1</v>
      </c>
      <c r="R1" s="102"/>
      <c r="S1" s="103"/>
      <c r="T1" s="102"/>
      <c r="U1" s="108"/>
      <c r="V1" s="108"/>
      <c r="W1" s="108"/>
      <c r="X1" s="111" t="s">
        <v>2</v>
      </c>
      <c r="Y1" s="112"/>
    </row>
    <row r="2" spans="1:25" ht="41.4" customHeight="1" thickBot="1" x14ac:dyDescent="0.35">
      <c r="A2" s="11" t="s">
        <v>3</v>
      </c>
      <c r="B2" s="12" t="s">
        <v>4</v>
      </c>
      <c r="C2" s="13" t="s">
        <v>5</v>
      </c>
      <c r="D2" s="14" t="s">
        <v>6</v>
      </c>
      <c r="E2" s="15" t="s">
        <v>7</v>
      </c>
      <c r="F2" s="16" t="s">
        <v>8</v>
      </c>
      <c r="G2" s="17" t="s">
        <v>9</v>
      </c>
      <c r="H2" s="18" t="s">
        <v>10</v>
      </c>
      <c r="I2" s="19" t="s">
        <v>11</v>
      </c>
      <c r="J2" s="20" t="s">
        <v>12</v>
      </c>
      <c r="K2" s="21" t="s">
        <v>13</v>
      </c>
      <c r="L2" s="22" t="s">
        <v>14</v>
      </c>
      <c r="M2" s="23" t="s">
        <v>15</v>
      </c>
      <c r="N2" s="24" t="s">
        <v>16</v>
      </c>
      <c r="O2" s="24" t="s">
        <v>17</v>
      </c>
      <c r="P2" s="25" t="s">
        <v>18</v>
      </c>
      <c r="Q2" s="26" t="s">
        <v>19</v>
      </c>
      <c r="R2" s="104"/>
      <c r="S2" s="105"/>
      <c r="T2" s="104"/>
      <c r="U2" s="109"/>
      <c r="V2" s="109"/>
      <c r="W2" s="109"/>
      <c r="X2" s="113"/>
      <c r="Y2" s="114"/>
    </row>
    <row r="3" spans="1:25" ht="82.95" customHeight="1" thickBot="1" x14ac:dyDescent="0.35">
      <c r="A3" s="27">
        <v>1</v>
      </c>
      <c r="B3" s="28"/>
      <c r="C3" s="29" t="s">
        <v>20</v>
      </c>
      <c r="D3" s="30">
        <f>SUM(Table2[[#This Row],[SL]:[TP]])</f>
        <v>0</v>
      </c>
      <c r="E3" s="31"/>
      <c r="F3" s="32"/>
      <c r="G3" s="33"/>
      <c r="H3" s="34"/>
      <c r="I3" s="35">
        <f t="shared" ref="I3:I62" si="0">IF(D3=0, 0, (H3/D3)*100)</f>
        <v>0</v>
      </c>
      <c r="J3" s="35">
        <f>IFERROR(Table2[[#This Row],[pips+]]/Table2[[#This Row],[pips-]], 0)</f>
        <v>0</v>
      </c>
      <c r="K3" s="36"/>
      <c r="L3" s="37"/>
      <c r="M3" s="38"/>
      <c r="N3" s="39"/>
      <c r="O3" s="40">
        <f>Table2[[#This Row],[profit+]]-Table2[[#This Row],[profit-]]</f>
        <v>0</v>
      </c>
      <c r="P3" s="41">
        <f t="shared" ref="P3:P62" si="1">SUM(L3-K3)</f>
        <v>0</v>
      </c>
      <c r="Q3" s="42">
        <f>Table2[[#This Row],[PIPS]]+(Table2[[#This Row],[TP]]*5)+(Table2[[#This Row],[CLOSE]]*2)-Table2[[#This Row],[SL]]</f>
        <v>0</v>
      </c>
      <c r="R3" s="106"/>
      <c r="S3" s="107"/>
      <c r="T3" s="106"/>
      <c r="U3" s="110"/>
      <c r="V3" s="110"/>
      <c r="W3" s="110"/>
      <c r="X3" s="113"/>
      <c r="Y3" s="114"/>
    </row>
    <row r="4" spans="1:25" ht="82.95" customHeight="1" x14ac:dyDescent="0.3">
      <c r="A4" s="43">
        <v>2</v>
      </c>
      <c r="B4" s="44"/>
      <c r="C4" s="45" t="s">
        <v>21</v>
      </c>
      <c r="D4" s="46">
        <f>SUM(Table2[[#This Row],[SL]:[TP]])</f>
        <v>0</v>
      </c>
      <c r="E4" s="47"/>
      <c r="F4" s="48"/>
      <c r="G4" s="49"/>
      <c r="H4" s="50"/>
      <c r="I4" s="35">
        <f t="shared" si="0"/>
        <v>0</v>
      </c>
      <c r="J4" s="35">
        <f>IFERROR(Table2[[#This Row],[pips+]]/Table2[[#This Row],[pips-]], 0)</f>
        <v>0</v>
      </c>
      <c r="K4" s="51"/>
      <c r="L4" s="52"/>
      <c r="M4" s="53"/>
      <c r="N4" s="54"/>
      <c r="O4" s="55">
        <f>Table2[[#This Row],[profit+]]-Table2[[#This Row],[profit-]]</f>
        <v>0</v>
      </c>
      <c r="P4" s="56">
        <f t="shared" si="1"/>
        <v>0</v>
      </c>
      <c r="Q4" s="57">
        <f>Table2[[#This Row],[PIPS]]+(Table2[[#This Row],[TP]]*5)+(Table2[[#This Row],[CLOSE]]*2)-Table2[[#This Row],[SL]]</f>
        <v>0</v>
      </c>
      <c r="R4" s="83"/>
      <c r="S4" s="84"/>
      <c r="T4" s="83"/>
      <c r="U4" s="87"/>
      <c r="V4" s="87"/>
      <c r="W4" s="87"/>
      <c r="X4" s="89" t="s">
        <v>22</v>
      </c>
      <c r="Y4" s="90"/>
    </row>
    <row r="5" spans="1:25" ht="82.95" customHeight="1" thickBot="1" x14ac:dyDescent="0.35">
      <c r="A5" s="58">
        <v>3</v>
      </c>
      <c r="B5" s="44"/>
      <c r="C5" s="45" t="s">
        <v>23</v>
      </c>
      <c r="D5" s="46">
        <f>SUM(Table2[[#This Row],[SL]:[TP]])</f>
        <v>0</v>
      </c>
      <c r="E5" s="47"/>
      <c r="F5" s="48"/>
      <c r="G5" s="49"/>
      <c r="H5" s="50"/>
      <c r="I5" s="35">
        <f t="shared" si="0"/>
        <v>0</v>
      </c>
      <c r="J5" s="35">
        <f>IFERROR(Table2[[#This Row],[pips+]]/Table2[[#This Row],[pips-]], 0)</f>
        <v>0</v>
      </c>
      <c r="K5" s="51"/>
      <c r="L5" s="52"/>
      <c r="M5" s="53"/>
      <c r="N5" s="54"/>
      <c r="O5" s="40">
        <f>Table2[[#This Row],[profit+]]-Table2[[#This Row],[profit-]]</f>
        <v>0</v>
      </c>
      <c r="P5" s="56">
        <f t="shared" si="1"/>
        <v>0</v>
      </c>
      <c r="Q5" s="57">
        <f>Table2[[#This Row],[PIPS]]+(Table2[[#This Row],[TP]]*5)+(Table2[[#This Row],[CLOSE]]*2)-Table2[[#This Row],[SL]]</f>
        <v>0</v>
      </c>
      <c r="R5" s="85"/>
      <c r="S5" s="86"/>
      <c r="T5" s="85"/>
      <c r="U5" s="88"/>
      <c r="V5" s="88"/>
      <c r="W5" s="88"/>
      <c r="X5" s="89"/>
      <c r="Y5" s="90"/>
    </row>
    <row r="6" spans="1:25" ht="82.95" customHeight="1" x14ac:dyDescent="0.3">
      <c r="A6" s="59">
        <v>4</v>
      </c>
      <c r="B6" s="44"/>
      <c r="C6" s="45" t="s">
        <v>24</v>
      </c>
      <c r="D6" s="46">
        <f>SUM(Table2[[#This Row],[SL]:[TP]])</f>
        <v>0</v>
      </c>
      <c r="E6" s="47"/>
      <c r="F6" s="48"/>
      <c r="G6" s="49"/>
      <c r="H6" s="50"/>
      <c r="I6" s="35">
        <f t="shared" si="0"/>
        <v>0</v>
      </c>
      <c r="J6" s="35">
        <f>IFERROR(Table2[[#This Row],[pips+]]/Table2[[#This Row],[pips-]], 0)</f>
        <v>0</v>
      </c>
      <c r="K6" s="51"/>
      <c r="L6" s="52"/>
      <c r="M6" s="60"/>
      <c r="N6" s="61"/>
      <c r="O6" s="62">
        <f>Table2[[#This Row],[profit+]]-Table2[[#This Row],[profit-]]</f>
        <v>0</v>
      </c>
      <c r="P6" s="56">
        <f t="shared" si="1"/>
        <v>0</v>
      </c>
      <c r="Q6" s="57">
        <f>Table2[[#This Row],[PIPS]]+(Table2[[#This Row],[TP]]*5)+(Table2[[#This Row],[CLOSE]]*2)-Table2[[#This Row],[SL]]</f>
        <v>0</v>
      </c>
      <c r="R6" s="83"/>
      <c r="S6" s="84"/>
      <c r="T6" s="83"/>
      <c r="U6" s="87"/>
      <c r="V6" s="87"/>
      <c r="W6" s="87"/>
      <c r="X6" s="91" t="s">
        <v>25</v>
      </c>
      <c r="Y6" s="92"/>
    </row>
    <row r="7" spans="1:25" ht="82.95" customHeight="1" thickBot="1" x14ac:dyDescent="0.35">
      <c r="A7" s="63">
        <v>5</v>
      </c>
      <c r="B7" s="44"/>
      <c r="C7" s="45" t="s">
        <v>26</v>
      </c>
      <c r="D7" s="46">
        <f>SUM(Table2[[#This Row],[SL]:[TP]])</f>
        <v>0</v>
      </c>
      <c r="E7" s="47"/>
      <c r="F7" s="48"/>
      <c r="G7" s="49"/>
      <c r="H7" s="50"/>
      <c r="I7" s="35">
        <f t="shared" si="0"/>
        <v>0</v>
      </c>
      <c r="J7" s="35">
        <f>IFERROR(Table2[[#This Row],[pips+]]/Table2[[#This Row],[pips-]], 0)</f>
        <v>0</v>
      </c>
      <c r="K7" s="51"/>
      <c r="L7" s="52"/>
      <c r="M7" s="60"/>
      <c r="N7" s="61"/>
      <c r="O7" s="62">
        <f>Table2[[#This Row],[profit+]]-Table2[[#This Row],[profit-]]</f>
        <v>0</v>
      </c>
      <c r="P7" s="56">
        <f t="shared" si="1"/>
        <v>0</v>
      </c>
      <c r="Q7" s="57">
        <f>Table2[[#This Row],[PIPS]]+(Table2[[#This Row],[TP]]*5)+(Table2[[#This Row],[CLOSE]]*2)-Table2[[#This Row],[SL]]</f>
        <v>0</v>
      </c>
      <c r="R7" s="85"/>
      <c r="S7" s="86"/>
      <c r="T7" s="85"/>
      <c r="U7" s="88"/>
      <c r="V7" s="88"/>
      <c r="W7" s="88"/>
      <c r="X7" s="93"/>
      <c r="Y7" s="94"/>
    </row>
    <row r="8" spans="1:25" ht="82.95" customHeight="1" x14ac:dyDescent="0.3">
      <c r="A8" s="59">
        <v>6</v>
      </c>
      <c r="B8" s="44"/>
      <c r="C8" s="64"/>
      <c r="D8" s="46">
        <f>SUM(Table2[[#This Row],[SL]:[TP]])</f>
        <v>0</v>
      </c>
      <c r="E8" s="47"/>
      <c r="F8" s="48"/>
      <c r="G8" s="49"/>
      <c r="H8" s="50"/>
      <c r="I8" s="35">
        <f t="shared" si="0"/>
        <v>0</v>
      </c>
      <c r="J8" s="35">
        <f>IFERROR(Table2[[#This Row],[pips+]]/Table2[[#This Row],[pips-]], 0)</f>
        <v>0</v>
      </c>
      <c r="K8" s="51"/>
      <c r="L8" s="52"/>
      <c r="M8" s="60"/>
      <c r="N8" s="61"/>
      <c r="O8" s="62">
        <f>Table2[[#This Row],[profit+]]-Table2[[#This Row],[profit-]]</f>
        <v>0</v>
      </c>
      <c r="P8" s="56">
        <f t="shared" si="1"/>
        <v>0</v>
      </c>
      <c r="Q8" s="57">
        <f>Table2[[#This Row],[PIPS]]+(Table2[[#This Row],[TP]]*5)+(Table2[[#This Row],[CLOSE]]*2)-Table2[[#This Row],[SL]]</f>
        <v>0</v>
      </c>
    </row>
    <row r="9" spans="1:25" ht="82.95" customHeight="1" x14ac:dyDescent="0.3">
      <c r="A9" s="63">
        <v>7</v>
      </c>
      <c r="B9" s="44"/>
      <c r="C9" s="64"/>
      <c r="D9" s="46">
        <f>SUM(Table2[[#This Row],[SL]:[TP]])</f>
        <v>0</v>
      </c>
      <c r="E9" s="47"/>
      <c r="F9" s="48"/>
      <c r="G9" s="49"/>
      <c r="H9" s="50"/>
      <c r="I9" s="35">
        <f t="shared" si="0"/>
        <v>0</v>
      </c>
      <c r="J9" s="35">
        <f>IFERROR(Table2[[#This Row],[pips+]]/Table2[[#This Row],[pips-]], 0)</f>
        <v>0</v>
      </c>
      <c r="K9" s="51"/>
      <c r="L9" s="52"/>
      <c r="M9" s="60"/>
      <c r="N9" s="61"/>
      <c r="O9" s="62">
        <f>Table2[[#This Row],[profit+]]-Table2[[#This Row],[profit-]]</f>
        <v>0</v>
      </c>
      <c r="P9" s="56">
        <f t="shared" si="1"/>
        <v>0</v>
      </c>
      <c r="Q9" s="57">
        <f>Table2[[#This Row],[PIPS]]+(Table2[[#This Row],[TP]]*5)+(Table2[[#This Row],[CLOSE]]*2)-Table2[[#This Row],[SL]]</f>
        <v>0</v>
      </c>
    </row>
    <row r="10" spans="1:25" ht="82.95" customHeight="1" x14ac:dyDescent="0.3">
      <c r="A10" s="65">
        <v>8</v>
      </c>
      <c r="B10" s="44"/>
      <c r="C10" s="64"/>
      <c r="D10" s="46">
        <f>SUM(Table2[[#This Row],[SL]:[TP]])</f>
        <v>0</v>
      </c>
      <c r="E10" s="47"/>
      <c r="F10" s="48"/>
      <c r="G10" s="49"/>
      <c r="H10" s="50"/>
      <c r="I10" s="35">
        <f t="shared" si="0"/>
        <v>0</v>
      </c>
      <c r="J10" s="35">
        <f>IFERROR(Table2[[#This Row],[pips+]]/Table2[[#This Row],[pips-]], 0)</f>
        <v>0</v>
      </c>
      <c r="K10" s="51"/>
      <c r="L10" s="52"/>
      <c r="M10" s="60"/>
      <c r="N10" s="61"/>
      <c r="O10" s="62">
        <f>Table2[[#This Row],[profit+]]-Table2[[#This Row],[profit-]]</f>
        <v>0</v>
      </c>
      <c r="P10" s="56">
        <f t="shared" si="1"/>
        <v>0</v>
      </c>
      <c r="Q10" s="57">
        <f>Table2[[#This Row],[PIPS]]+(Table2[[#This Row],[TP]]*5)+(Table2[[#This Row],[CLOSE]]*2)-Table2[[#This Row],[SL]]</f>
        <v>0</v>
      </c>
    </row>
    <row r="11" spans="1:25" ht="82.95" customHeight="1" x14ac:dyDescent="0.3">
      <c r="A11" s="66">
        <v>9</v>
      </c>
      <c r="B11" s="44"/>
      <c r="C11" s="64"/>
      <c r="D11" s="46">
        <f>SUM(Table2[[#This Row],[SL]:[TP]])</f>
        <v>0</v>
      </c>
      <c r="E11" s="47"/>
      <c r="F11" s="48"/>
      <c r="G11" s="49"/>
      <c r="H11" s="50"/>
      <c r="I11" s="35">
        <f t="shared" si="0"/>
        <v>0</v>
      </c>
      <c r="J11" s="35">
        <f>IFERROR(Table2[[#This Row],[pips+]]/Table2[[#This Row],[pips-]], 0)</f>
        <v>0</v>
      </c>
      <c r="K11" s="51"/>
      <c r="L11" s="52"/>
      <c r="M11" s="60"/>
      <c r="N11" s="61"/>
      <c r="O11" s="62">
        <f>Table2[[#This Row],[profit+]]-Table2[[#This Row],[profit-]]</f>
        <v>0</v>
      </c>
      <c r="P11" s="56">
        <f t="shared" si="1"/>
        <v>0</v>
      </c>
      <c r="Q11" s="57">
        <f>Table2[[#This Row],[PIPS]]+(Table2[[#This Row],[TP]]*5)+(Table2[[#This Row],[CLOSE]]*2)-Table2[[#This Row],[SL]]</f>
        <v>0</v>
      </c>
    </row>
    <row r="12" spans="1:25" ht="82.95" customHeight="1" x14ac:dyDescent="0.3">
      <c r="A12" s="65">
        <v>10</v>
      </c>
      <c r="B12" s="44"/>
      <c r="C12" s="64"/>
      <c r="D12" s="46">
        <f>SUM(Table2[[#This Row],[SL]:[TP]])</f>
        <v>0</v>
      </c>
      <c r="E12" s="47"/>
      <c r="F12" s="48"/>
      <c r="G12" s="49"/>
      <c r="H12" s="50"/>
      <c r="I12" s="35">
        <f t="shared" si="0"/>
        <v>0</v>
      </c>
      <c r="J12" s="35">
        <f>IFERROR(Table2[[#This Row],[pips+]]/Table2[[#This Row],[pips-]], 0)</f>
        <v>0</v>
      </c>
      <c r="K12" s="51"/>
      <c r="L12" s="52"/>
      <c r="M12" s="60"/>
      <c r="N12" s="61"/>
      <c r="O12" s="62">
        <f>Table2[[#This Row],[profit+]]-Table2[[#This Row],[profit-]]</f>
        <v>0</v>
      </c>
      <c r="P12" s="56">
        <f t="shared" si="1"/>
        <v>0</v>
      </c>
      <c r="Q12" s="57">
        <f>Table2[[#This Row],[PIPS]]+(Table2[[#This Row],[TP]]*5)+(Table2[[#This Row],[CLOSE]]*2)-Table2[[#This Row],[SL]]</f>
        <v>0</v>
      </c>
    </row>
    <row r="13" spans="1:25" ht="82.95" customHeight="1" x14ac:dyDescent="0.3">
      <c r="A13" s="66">
        <v>11</v>
      </c>
      <c r="B13" s="44"/>
      <c r="C13" s="64"/>
      <c r="D13" s="46">
        <f>SUM(Table2[[#This Row],[SL]:[TP]])</f>
        <v>0</v>
      </c>
      <c r="E13" s="47"/>
      <c r="F13" s="48"/>
      <c r="G13" s="49"/>
      <c r="H13" s="50"/>
      <c r="I13" s="35">
        <f t="shared" si="0"/>
        <v>0</v>
      </c>
      <c r="J13" s="35">
        <f>IFERROR(Table2[[#This Row],[pips+]]/Table2[[#This Row],[pips-]], 0)</f>
        <v>0</v>
      </c>
      <c r="K13" s="51"/>
      <c r="L13" s="52"/>
      <c r="M13" s="60"/>
      <c r="N13" s="61"/>
      <c r="O13" s="62">
        <f>Table2[[#This Row],[profit+]]-Table2[[#This Row],[profit-]]</f>
        <v>0</v>
      </c>
      <c r="P13" s="56">
        <f t="shared" si="1"/>
        <v>0</v>
      </c>
      <c r="Q13" s="57">
        <f>Table2[[#This Row],[PIPS]]+(Table2[[#This Row],[TP]]*5)+(Table2[[#This Row],[CLOSE]]*2)-Table2[[#This Row],[SL]]</f>
        <v>0</v>
      </c>
    </row>
    <row r="14" spans="1:25" ht="82.95" customHeight="1" x14ac:dyDescent="0.3">
      <c r="A14" s="65">
        <v>12</v>
      </c>
      <c r="B14" s="44"/>
      <c r="C14" s="64"/>
      <c r="D14" s="46">
        <f>SUM(Table2[[#This Row],[SL]:[TP]])</f>
        <v>0</v>
      </c>
      <c r="E14" s="47"/>
      <c r="F14" s="48"/>
      <c r="G14" s="49"/>
      <c r="H14" s="50"/>
      <c r="I14" s="35">
        <f t="shared" si="0"/>
        <v>0</v>
      </c>
      <c r="J14" s="35">
        <f>IFERROR(Table2[[#This Row],[pips+]]/Table2[[#This Row],[pips-]], 0)</f>
        <v>0</v>
      </c>
      <c r="K14" s="51"/>
      <c r="L14" s="52"/>
      <c r="M14" s="60"/>
      <c r="N14" s="61"/>
      <c r="O14" s="62">
        <f>Table2[[#This Row],[profit+]]-Table2[[#This Row],[profit-]]</f>
        <v>0</v>
      </c>
      <c r="P14" s="56">
        <f t="shared" si="1"/>
        <v>0</v>
      </c>
      <c r="Q14" s="57">
        <f>Table2[[#This Row],[PIPS]]+(Table2[[#This Row],[TP]]*5)+(Table2[[#This Row],[CLOSE]]*2)-Table2[[#This Row],[SL]]</f>
        <v>0</v>
      </c>
    </row>
    <row r="15" spans="1:25" ht="82.95" customHeight="1" x14ac:dyDescent="0.3">
      <c r="A15" s="66">
        <v>13</v>
      </c>
      <c r="B15" s="44"/>
      <c r="C15" s="64"/>
      <c r="D15" s="46">
        <f>SUM(Table2[[#This Row],[SL]:[TP]])</f>
        <v>0</v>
      </c>
      <c r="E15" s="47"/>
      <c r="F15" s="48"/>
      <c r="G15" s="49"/>
      <c r="H15" s="50"/>
      <c r="I15" s="35">
        <f t="shared" si="0"/>
        <v>0</v>
      </c>
      <c r="J15" s="35">
        <f>IFERROR(Table2[[#This Row],[pips+]]/Table2[[#This Row],[pips-]], 0)</f>
        <v>0</v>
      </c>
      <c r="K15" s="51"/>
      <c r="L15" s="52"/>
      <c r="M15" s="60"/>
      <c r="N15" s="61"/>
      <c r="O15" s="62">
        <f>Table2[[#This Row],[profit+]]-Table2[[#This Row],[profit-]]</f>
        <v>0</v>
      </c>
      <c r="P15" s="56">
        <f t="shared" si="1"/>
        <v>0</v>
      </c>
      <c r="Q15" s="57">
        <f>Table2[[#This Row],[PIPS]]+(Table2[[#This Row],[TP]]*5)+(Table2[[#This Row],[CLOSE]]*2)-Table2[[#This Row],[SL]]</f>
        <v>0</v>
      </c>
    </row>
    <row r="16" spans="1:25" ht="82.95" customHeight="1" x14ac:dyDescent="0.3">
      <c r="A16" s="65">
        <v>14</v>
      </c>
      <c r="B16" s="44"/>
      <c r="C16" s="64"/>
      <c r="D16" s="46">
        <f>SUM(Table2[[#This Row],[SL]:[TP]])</f>
        <v>0</v>
      </c>
      <c r="E16" s="47"/>
      <c r="F16" s="48"/>
      <c r="G16" s="49"/>
      <c r="H16" s="50"/>
      <c r="I16" s="35">
        <f t="shared" si="0"/>
        <v>0</v>
      </c>
      <c r="J16" s="35">
        <f>IFERROR(Table2[[#This Row],[pips+]]/Table2[[#This Row],[pips-]], 0)</f>
        <v>0</v>
      </c>
      <c r="K16" s="51"/>
      <c r="L16" s="52"/>
      <c r="M16" s="60"/>
      <c r="N16" s="61"/>
      <c r="O16" s="62">
        <f>Table2[[#This Row],[profit+]]-Table2[[#This Row],[profit-]]</f>
        <v>0</v>
      </c>
      <c r="P16" s="56">
        <f t="shared" si="1"/>
        <v>0</v>
      </c>
      <c r="Q16" s="67">
        <f>Table2[[#This Row],[PIPS]]+(Table2[[#This Row],[TP]]*5)+(Table2[[#This Row],[CLOSE]]*2)-Table2[[#This Row],[SL]]</f>
        <v>0</v>
      </c>
    </row>
    <row r="17" spans="1:17" ht="82.95" customHeight="1" x14ac:dyDescent="0.3">
      <c r="A17" s="66">
        <v>15</v>
      </c>
      <c r="B17" s="44"/>
      <c r="C17" s="64"/>
      <c r="D17" s="46">
        <f>SUM(Table2[[#This Row],[SL]:[TP]])</f>
        <v>0</v>
      </c>
      <c r="E17" s="47"/>
      <c r="F17" s="48"/>
      <c r="G17" s="49"/>
      <c r="H17" s="50"/>
      <c r="I17" s="35">
        <f t="shared" si="0"/>
        <v>0</v>
      </c>
      <c r="J17" s="35">
        <f>IFERROR(Table2[[#This Row],[pips+]]/Table2[[#This Row],[pips-]], 0)</f>
        <v>0</v>
      </c>
      <c r="K17" s="51"/>
      <c r="L17" s="52"/>
      <c r="M17" s="60"/>
      <c r="N17" s="61"/>
      <c r="O17" s="62">
        <f>Table2[[#This Row],[profit+]]-Table2[[#This Row],[profit-]]</f>
        <v>0</v>
      </c>
      <c r="P17" s="56">
        <f t="shared" si="1"/>
        <v>0</v>
      </c>
      <c r="Q17" s="67">
        <f>Table2[[#This Row],[PIPS]]+(Table2[[#This Row],[TP]]*5)+(Table2[[#This Row],[CLOSE]]*2)-Table2[[#This Row],[SL]]</f>
        <v>0</v>
      </c>
    </row>
    <row r="18" spans="1:17" ht="82.95" customHeight="1" x14ac:dyDescent="0.3">
      <c r="A18" s="65">
        <v>16</v>
      </c>
      <c r="B18" s="44"/>
      <c r="C18" s="64"/>
      <c r="D18" s="46">
        <f>SUM(Table2[[#This Row],[SL]:[TP]])</f>
        <v>0</v>
      </c>
      <c r="E18" s="47"/>
      <c r="F18" s="48"/>
      <c r="G18" s="49"/>
      <c r="H18" s="50"/>
      <c r="I18" s="35">
        <f t="shared" si="0"/>
        <v>0</v>
      </c>
      <c r="J18" s="35">
        <f>IFERROR(Table2[[#This Row],[pips+]]/Table2[[#This Row],[pips-]], 0)</f>
        <v>0</v>
      </c>
      <c r="K18" s="51"/>
      <c r="L18" s="52"/>
      <c r="M18" s="60"/>
      <c r="N18" s="61"/>
      <c r="O18" s="62">
        <f>Table2[[#This Row],[profit+]]-Table2[[#This Row],[profit-]]</f>
        <v>0</v>
      </c>
      <c r="P18" s="56">
        <f t="shared" si="1"/>
        <v>0</v>
      </c>
      <c r="Q18" s="67">
        <f>Table2[[#This Row],[PIPS]]+(Table2[[#This Row],[TP]]*5)+(Table2[[#This Row],[CLOSE]]*2)-Table2[[#This Row],[SL]]</f>
        <v>0</v>
      </c>
    </row>
    <row r="19" spans="1:17" ht="82.95" customHeight="1" x14ac:dyDescent="0.3">
      <c r="A19" s="66">
        <v>17</v>
      </c>
      <c r="B19" s="44"/>
      <c r="C19" s="64"/>
      <c r="D19" s="46">
        <f>SUM(Table2[[#This Row],[SL]:[TP]])</f>
        <v>0</v>
      </c>
      <c r="E19" s="47"/>
      <c r="F19" s="48"/>
      <c r="G19" s="49"/>
      <c r="H19" s="50"/>
      <c r="I19" s="35">
        <f t="shared" si="0"/>
        <v>0</v>
      </c>
      <c r="J19" s="35">
        <f>IFERROR(Table2[[#This Row],[pips+]]/Table2[[#This Row],[pips-]], 0)</f>
        <v>0</v>
      </c>
      <c r="K19" s="51"/>
      <c r="L19" s="52"/>
      <c r="M19" s="60"/>
      <c r="N19" s="61"/>
      <c r="O19" s="62">
        <f>Table2[[#This Row],[profit+]]-Table2[[#This Row],[profit-]]</f>
        <v>0</v>
      </c>
      <c r="P19" s="56">
        <f t="shared" si="1"/>
        <v>0</v>
      </c>
      <c r="Q19" s="67">
        <f>Table2[[#This Row],[PIPS]]+(Table2[[#This Row],[TP]]*5)+(Table2[[#This Row],[CLOSE]]*2)-Table2[[#This Row],[SL]]</f>
        <v>0</v>
      </c>
    </row>
    <row r="20" spans="1:17" ht="82.95" customHeight="1" x14ac:dyDescent="0.3">
      <c r="A20" s="65">
        <v>18</v>
      </c>
      <c r="B20" s="44"/>
      <c r="C20" s="64"/>
      <c r="D20" s="46">
        <f>SUM(Table2[[#This Row],[SL]:[TP]])</f>
        <v>0</v>
      </c>
      <c r="E20" s="47"/>
      <c r="F20" s="48"/>
      <c r="G20" s="49"/>
      <c r="H20" s="50"/>
      <c r="I20" s="35">
        <f t="shared" si="0"/>
        <v>0</v>
      </c>
      <c r="J20" s="35">
        <f>IFERROR(Table2[[#This Row],[pips+]]/Table2[[#This Row],[pips-]], 0)</f>
        <v>0</v>
      </c>
      <c r="K20" s="51"/>
      <c r="L20" s="52"/>
      <c r="M20" s="60"/>
      <c r="N20" s="61"/>
      <c r="O20" s="62">
        <f>Table2[[#This Row],[profit+]]-Table2[[#This Row],[profit-]]</f>
        <v>0</v>
      </c>
      <c r="P20" s="56">
        <f t="shared" si="1"/>
        <v>0</v>
      </c>
      <c r="Q20" s="67">
        <f>Table2[[#This Row],[PIPS]]+(Table2[[#This Row],[TP]]*5)+(Table2[[#This Row],[CLOSE]]*2)-Table2[[#This Row],[SL]]</f>
        <v>0</v>
      </c>
    </row>
    <row r="21" spans="1:17" ht="82.95" customHeight="1" x14ac:dyDescent="0.3">
      <c r="A21" s="66">
        <v>19</v>
      </c>
      <c r="B21" s="44"/>
      <c r="C21" s="64"/>
      <c r="D21" s="46">
        <f>SUM(Table2[[#This Row],[SL]:[TP]])</f>
        <v>0</v>
      </c>
      <c r="E21" s="47"/>
      <c r="F21" s="48"/>
      <c r="G21" s="49"/>
      <c r="H21" s="50"/>
      <c r="I21" s="35">
        <f t="shared" si="0"/>
        <v>0</v>
      </c>
      <c r="J21" s="35">
        <f>IFERROR(Table2[[#This Row],[pips+]]/Table2[[#This Row],[pips-]], 0)</f>
        <v>0</v>
      </c>
      <c r="K21" s="51"/>
      <c r="L21" s="52"/>
      <c r="M21" s="60"/>
      <c r="N21" s="61"/>
      <c r="O21" s="62">
        <f>Table2[[#This Row],[profit+]]-Table2[[#This Row],[profit-]]</f>
        <v>0</v>
      </c>
      <c r="P21" s="56">
        <f t="shared" si="1"/>
        <v>0</v>
      </c>
      <c r="Q21" s="67">
        <f>Table2[[#This Row],[PIPS]]+(Table2[[#This Row],[TP]]*5)+(Table2[[#This Row],[CLOSE]]*2)-Table2[[#This Row],[SL]]</f>
        <v>0</v>
      </c>
    </row>
    <row r="22" spans="1:17" ht="82.95" customHeight="1" x14ac:dyDescent="0.3">
      <c r="A22" s="68">
        <v>20</v>
      </c>
      <c r="B22" s="44"/>
      <c r="C22" s="64"/>
      <c r="D22" s="46">
        <f>SUM(Table2[[#This Row],[SL]:[TP]])</f>
        <v>0</v>
      </c>
      <c r="E22" s="47"/>
      <c r="F22" s="48"/>
      <c r="G22" s="49"/>
      <c r="H22" s="50"/>
      <c r="I22" s="35">
        <f t="shared" si="0"/>
        <v>0</v>
      </c>
      <c r="J22" s="35">
        <f>IFERROR(Table2[[#This Row],[pips+]]/Table2[[#This Row],[pips-]], 0)</f>
        <v>0</v>
      </c>
      <c r="K22" s="51"/>
      <c r="L22" s="52"/>
      <c r="M22" s="60"/>
      <c r="N22" s="61"/>
      <c r="O22" s="62">
        <f>Table2[[#This Row],[profit+]]-Table2[[#This Row],[profit-]]</f>
        <v>0</v>
      </c>
      <c r="P22" s="56">
        <f t="shared" si="1"/>
        <v>0</v>
      </c>
      <c r="Q22" s="67">
        <f>Table2[[#This Row],[PIPS]]+(Table2[[#This Row],[TP]]*5)+(Table2[[#This Row],[CLOSE]]*2)-Table2[[#This Row],[SL]]</f>
        <v>0</v>
      </c>
    </row>
    <row r="23" spans="1:17" ht="82.95" customHeight="1" x14ac:dyDescent="0.3">
      <c r="A23" s="69">
        <v>21</v>
      </c>
      <c r="B23" s="44"/>
      <c r="C23" s="64"/>
      <c r="D23" s="46">
        <f>SUM(Table2[[#This Row],[SL]:[TP]])</f>
        <v>0</v>
      </c>
      <c r="E23" s="47"/>
      <c r="F23" s="48"/>
      <c r="G23" s="49"/>
      <c r="H23" s="50"/>
      <c r="I23" s="35">
        <f t="shared" si="0"/>
        <v>0</v>
      </c>
      <c r="J23" s="35">
        <f>IFERROR(Table2[[#This Row],[pips+]]/Table2[[#This Row],[pips-]], 0)</f>
        <v>0</v>
      </c>
      <c r="K23" s="51"/>
      <c r="L23" s="52"/>
      <c r="M23" s="60"/>
      <c r="N23" s="61"/>
      <c r="O23" s="62">
        <f>Table2[[#This Row],[profit+]]-Table2[[#This Row],[profit-]]</f>
        <v>0</v>
      </c>
      <c r="P23" s="56">
        <f t="shared" si="1"/>
        <v>0</v>
      </c>
      <c r="Q23" s="67">
        <f>Table2[[#This Row],[PIPS]]+(Table2[[#This Row],[TP]]*5)+(Table2[[#This Row],[CLOSE]]*2)-Table2[[#This Row],[SL]]</f>
        <v>0</v>
      </c>
    </row>
    <row r="24" spans="1:17" ht="82.95" customHeight="1" x14ac:dyDescent="0.3">
      <c r="A24" s="68">
        <v>22</v>
      </c>
      <c r="B24" s="44"/>
      <c r="C24" s="64"/>
      <c r="D24" s="46">
        <f>SUM(Table2[[#This Row],[SL]:[TP]])</f>
        <v>0</v>
      </c>
      <c r="E24" s="47"/>
      <c r="F24" s="48"/>
      <c r="G24" s="49"/>
      <c r="H24" s="50"/>
      <c r="I24" s="35">
        <f t="shared" si="0"/>
        <v>0</v>
      </c>
      <c r="J24" s="35">
        <f>IFERROR(Table2[[#This Row],[pips+]]/Table2[[#This Row],[pips-]], 0)</f>
        <v>0</v>
      </c>
      <c r="K24" s="51"/>
      <c r="L24" s="52"/>
      <c r="M24" s="60"/>
      <c r="N24" s="61"/>
      <c r="O24" s="62">
        <f>Table2[[#This Row],[profit+]]-Table2[[#This Row],[profit-]]</f>
        <v>0</v>
      </c>
      <c r="P24" s="56">
        <f t="shared" si="1"/>
        <v>0</v>
      </c>
      <c r="Q24" s="67">
        <f>Table2[[#This Row],[PIPS]]+(Table2[[#This Row],[TP]]*5)+(Table2[[#This Row],[CLOSE]]*2)-Table2[[#This Row],[SL]]</f>
        <v>0</v>
      </c>
    </row>
    <row r="25" spans="1:17" ht="82.95" customHeight="1" x14ac:dyDescent="0.3">
      <c r="A25" s="69">
        <v>23</v>
      </c>
      <c r="B25" s="44"/>
      <c r="C25" s="64"/>
      <c r="D25" s="46">
        <f>SUM(Table2[[#This Row],[SL]:[TP]])</f>
        <v>0</v>
      </c>
      <c r="E25" s="47"/>
      <c r="F25" s="48"/>
      <c r="G25" s="49"/>
      <c r="H25" s="50"/>
      <c r="I25" s="35">
        <f t="shared" si="0"/>
        <v>0</v>
      </c>
      <c r="J25" s="35">
        <f>IFERROR(Table2[[#This Row],[pips+]]/Table2[[#This Row],[pips-]], 0)</f>
        <v>0</v>
      </c>
      <c r="K25" s="51"/>
      <c r="L25" s="52"/>
      <c r="M25" s="60"/>
      <c r="N25" s="61"/>
      <c r="O25" s="62">
        <f>Table2[[#This Row],[profit+]]-Table2[[#This Row],[profit-]]</f>
        <v>0</v>
      </c>
      <c r="P25" s="56">
        <f t="shared" si="1"/>
        <v>0</v>
      </c>
      <c r="Q25" s="67">
        <f>Table2[[#This Row],[PIPS]]+(Table2[[#This Row],[TP]]*5)+(Table2[[#This Row],[CLOSE]]*2)-Table2[[#This Row],[SL]]</f>
        <v>0</v>
      </c>
    </row>
    <row r="26" spans="1:17" ht="82.95" customHeight="1" x14ac:dyDescent="0.3">
      <c r="A26" s="68">
        <v>24</v>
      </c>
      <c r="B26" s="44"/>
      <c r="C26" s="64"/>
      <c r="D26" s="46">
        <f>SUM(Table2[[#This Row],[SL]:[TP]])</f>
        <v>0</v>
      </c>
      <c r="E26" s="47"/>
      <c r="F26" s="48"/>
      <c r="G26" s="49"/>
      <c r="H26" s="50"/>
      <c r="I26" s="35">
        <f t="shared" si="0"/>
        <v>0</v>
      </c>
      <c r="J26" s="35">
        <f>IFERROR(Table2[[#This Row],[pips+]]/Table2[[#This Row],[pips-]], 0)</f>
        <v>0</v>
      </c>
      <c r="K26" s="51"/>
      <c r="L26" s="52"/>
      <c r="M26" s="60"/>
      <c r="N26" s="61"/>
      <c r="O26" s="62">
        <f>Table2[[#This Row],[profit+]]-Table2[[#This Row],[profit-]]</f>
        <v>0</v>
      </c>
      <c r="P26" s="56">
        <f t="shared" si="1"/>
        <v>0</v>
      </c>
      <c r="Q26" s="67">
        <f>Table2[[#This Row],[PIPS]]+(Table2[[#This Row],[TP]]*5)+(Table2[[#This Row],[CLOSE]]*2)-Table2[[#This Row],[SL]]</f>
        <v>0</v>
      </c>
    </row>
    <row r="27" spans="1:17" ht="82.95" customHeight="1" x14ac:dyDescent="0.3">
      <c r="A27" s="69">
        <v>25</v>
      </c>
      <c r="B27" s="44"/>
      <c r="C27" s="64"/>
      <c r="D27" s="46">
        <f>SUM(Table2[[#This Row],[SL]:[TP]])</f>
        <v>0</v>
      </c>
      <c r="E27" s="47"/>
      <c r="F27" s="48"/>
      <c r="G27" s="49"/>
      <c r="H27" s="50"/>
      <c r="I27" s="35">
        <f t="shared" si="0"/>
        <v>0</v>
      </c>
      <c r="J27" s="35">
        <f>IFERROR(Table2[[#This Row],[pips+]]/Table2[[#This Row],[pips-]], 0)</f>
        <v>0</v>
      </c>
      <c r="K27" s="51"/>
      <c r="L27" s="52"/>
      <c r="M27" s="60"/>
      <c r="N27" s="61"/>
      <c r="O27" s="62">
        <f>Table2[[#This Row],[profit+]]-Table2[[#This Row],[profit-]]</f>
        <v>0</v>
      </c>
      <c r="P27" s="56">
        <f t="shared" si="1"/>
        <v>0</v>
      </c>
      <c r="Q27" s="67">
        <f>Table2[[#This Row],[PIPS]]+(Table2[[#This Row],[TP]]*5)+(Table2[[#This Row],[CLOSE]]*2)-Table2[[#This Row],[SL]]</f>
        <v>0</v>
      </c>
    </row>
    <row r="28" spans="1:17" ht="82.95" customHeight="1" x14ac:dyDescent="0.3">
      <c r="A28" s="68">
        <v>26</v>
      </c>
      <c r="B28" s="44"/>
      <c r="C28" s="64"/>
      <c r="D28" s="46">
        <f>SUM(Table2[[#This Row],[SL]:[TP]])</f>
        <v>0</v>
      </c>
      <c r="E28" s="47"/>
      <c r="F28" s="48"/>
      <c r="G28" s="49"/>
      <c r="H28" s="50"/>
      <c r="I28" s="35">
        <f t="shared" si="0"/>
        <v>0</v>
      </c>
      <c r="J28" s="35">
        <f>IFERROR(Table2[[#This Row],[pips+]]/Table2[[#This Row],[pips-]], 0)</f>
        <v>0</v>
      </c>
      <c r="K28" s="51"/>
      <c r="L28" s="52"/>
      <c r="M28" s="60"/>
      <c r="N28" s="61"/>
      <c r="O28" s="62">
        <f>Table2[[#This Row],[profit+]]-Table2[[#This Row],[profit-]]</f>
        <v>0</v>
      </c>
      <c r="P28" s="56">
        <f t="shared" si="1"/>
        <v>0</v>
      </c>
      <c r="Q28" s="67">
        <f>Table2[[#This Row],[PIPS]]+(Table2[[#This Row],[TP]]*5)+(Table2[[#This Row],[CLOSE]]*2)-Table2[[#This Row],[SL]]</f>
        <v>0</v>
      </c>
    </row>
    <row r="29" spans="1:17" ht="82.95" customHeight="1" x14ac:dyDescent="0.3">
      <c r="A29" s="69">
        <v>27</v>
      </c>
      <c r="B29" s="44"/>
      <c r="C29" s="64"/>
      <c r="D29" s="46">
        <f>SUM(Table2[[#This Row],[SL]:[TP]])</f>
        <v>0</v>
      </c>
      <c r="E29" s="47"/>
      <c r="F29" s="48"/>
      <c r="G29" s="49"/>
      <c r="H29" s="50"/>
      <c r="I29" s="35">
        <f t="shared" si="0"/>
        <v>0</v>
      </c>
      <c r="J29" s="35">
        <f>IFERROR(Table2[[#This Row],[pips+]]/Table2[[#This Row],[pips-]], 0)</f>
        <v>0</v>
      </c>
      <c r="K29" s="51"/>
      <c r="L29" s="52"/>
      <c r="M29" s="60"/>
      <c r="N29" s="61"/>
      <c r="O29" s="62">
        <f>Table2[[#This Row],[profit+]]-Table2[[#This Row],[profit-]]</f>
        <v>0</v>
      </c>
      <c r="P29" s="56">
        <f t="shared" si="1"/>
        <v>0</v>
      </c>
      <c r="Q29" s="67">
        <f>Table2[[#This Row],[PIPS]]+(Table2[[#This Row],[TP]]*5)+(Table2[[#This Row],[CLOSE]]*2)-Table2[[#This Row],[SL]]</f>
        <v>0</v>
      </c>
    </row>
    <row r="30" spans="1:17" ht="82.95" customHeight="1" x14ac:dyDescent="0.3">
      <c r="A30" s="68">
        <v>28</v>
      </c>
      <c r="B30" s="44"/>
      <c r="C30" s="64"/>
      <c r="D30" s="46">
        <f>SUM(Table2[[#This Row],[SL]:[TP]])</f>
        <v>0</v>
      </c>
      <c r="E30" s="47"/>
      <c r="F30" s="48"/>
      <c r="G30" s="49"/>
      <c r="H30" s="50"/>
      <c r="I30" s="35">
        <f t="shared" si="0"/>
        <v>0</v>
      </c>
      <c r="J30" s="35">
        <f>IFERROR(Table2[[#This Row],[pips+]]/Table2[[#This Row],[pips-]], 0)</f>
        <v>0</v>
      </c>
      <c r="K30" s="51"/>
      <c r="L30" s="52"/>
      <c r="M30" s="60"/>
      <c r="N30" s="61"/>
      <c r="O30" s="62">
        <f>Table2[[#This Row],[profit+]]-Table2[[#This Row],[profit-]]</f>
        <v>0</v>
      </c>
      <c r="P30" s="56">
        <f t="shared" si="1"/>
        <v>0</v>
      </c>
      <c r="Q30" s="67">
        <f>Table2[[#This Row],[PIPS]]+(Table2[[#This Row],[TP]]*5)+(Table2[[#This Row],[CLOSE]]*2)-Table2[[#This Row],[SL]]</f>
        <v>0</v>
      </c>
    </row>
    <row r="31" spans="1:17" ht="82.95" customHeight="1" x14ac:dyDescent="0.3">
      <c r="A31" s="69">
        <v>29</v>
      </c>
      <c r="B31" s="44"/>
      <c r="C31" s="64"/>
      <c r="D31" s="46">
        <f>SUM(Table2[[#This Row],[SL]:[TP]])</f>
        <v>0</v>
      </c>
      <c r="E31" s="47"/>
      <c r="F31" s="48"/>
      <c r="G31" s="49"/>
      <c r="H31" s="50"/>
      <c r="I31" s="35">
        <f t="shared" si="0"/>
        <v>0</v>
      </c>
      <c r="J31" s="35">
        <f>IFERROR(Table2[[#This Row],[pips+]]/Table2[[#This Row],[pips-]], 0)</f>
        <v>0</v>
      </c>
      <c r="K31" s="51"/>
      <c r="L31" s="52"/>
      <c r="M31" s="60"/>
      <c r="N31" s="61"/>
      <c r="O31" s="62">
        <f>Table2[[#This Row],[profit+]]-Table2[[#This Row],[profit-]]</f>
        <v>0</v>
      </c>
      <c r="P31" s="56">
        <f t="shared" si="1"/>
        <v>0</v>
      </c>
      <c r="Q31" s="67">
        <f>Table2[[#This Row],[PIPS]]+(Table2[[#This Row],[TP]]*5)+(Table2[[#This Row],[CLOSE]]*2)-Table2[[#This Row],[SL]]</f>
        <v>0</v>
      </c>
    </row>
    <row r="32" spans="1:17" ht="82.95" customHeight="1" x14ac:dyDescent="0.3">
      <c r="A32" s="68">
        <v>30</v>
      </c>
      <c r="B32" s="44"/>
      <c r="C32" s="64"/>
      <c r="D32" s="46">
        <f>SUM(Table2[[#This Row],[SL]:[TP]])</f>
        <v>0</v>
      </c>
      <c r="E32" s="47"/>
      <c r="F32" s="48"/>
      <c r="G32" s="49"/>
      <c r="H32" s="50"/>
      <c r="I32" s="35">
        <f t="shared" si="0"/>
        <v>0</v>
      </c>
      <c r="J32" s="35">
        <f>IFERROR(Table2[[#This Row],[pips+]]/Table2[[#This Row],[pips-]], 0)</f>
        <v>0</v>
      </c>
      <c r="K32" s="51"/>
      <c r="L32" s="52"/>
      <c r="M32" s="60"/>
      <c r="N32" s="61"/>
      <c r="O32" s="62">
        <f>Table2[[#This Row],[profit+]]-Table2[[#This Row],[profit-]]</f>
        <v>0</v>
      </c>
      <c r="P32" s="56">
        <f t="shared" si="1"/>
        <v>0</v>
      </c>
      <c r="Q32" s="67">
        <f>Table2[[#This Row],[PIPS]]+(Table2[[#This Row],[TP]]*5)+(Table2[[#This Row],[CLOSE]]*2)-Table2[[#This Row],[SL]]</f>
        <v>0</v>
      </c>
    </row>
    <row r="33" spans="1:17" ht="82.95" customHeight="1" x14ac:dyDescent="0.3">
      <c r="A33" s="69">
        <v>31</v>
      </c>
      <c r="B33" s="44"/>
      <c r="C33" s="64"/>
      <c r="D33" s="46">
        <f>SUM(Table2[[#This Row],[SL]:[TP]])</f>
        <v>0</v>
      </c>
      <c r="E33" s="47"/>
      <c r="F33" s="48"/>
      <c r="G33" s="49"/>
      <c r="H33" s="50"/>
      <c r="I33" s="35">
        <f t="shared" si="0"/>
        <v>0</v>
      </c>
      <c r="J33" s="35">
        <f>IFERROR(Table2[[#This Row],[pips+]]/Table2[[#This Row],[pips-]], 0)</f>
        <v>0</v>
      </c>
      <c r="K33" s="51"/>
      <c r="L33" s="52"/>
      <c r="M33" s="60"/>
      <c r="N33" s="61"/>
      <c r="O33" s="62">
        <f>Table2[[#This Row],[profit+]]-Table2[[#This Row],[profit-]]</f>
        <v>0</v>
      </c>
      <c r="P33" s="56">
        <f t="shared" si="1"/>
        <v>0</v>
      </c>
      <c r="Q33" s="67">
        <f>Table2[[#This Row],[PIPS]]+(Table2[[#This Row],[TP]]*5)+(Table2[[#This Row],[CLOSE]]*2)-Table2[[#This Row],[SL]]</f>
        <v>0</v>
      </c>
    </row>
    <row r="34" spans="1:17" ht="82.95" customHeight="1" x14ac:dyDescent="0.3">
      <c r="A34" s="68">
        <v>32</v>
      </c>
      <c r="B34" s="44"/>
      <c r="C34" s="64"/>
      <c r="D34" s="46">
        <f>SUM(Table2[[#This Row],[SL]:[TP]])</f>
        <v>0</v>
      </c>
      <c r="E34" s="47"/>
      <c r="F34" s="48"/>
      <c r="G34" s="49"/>
      <c r="H34" s="50"/>
      <c r="I34" s="35">
        <f t="shared" si="0"/>
        <v>0</v>
      </c>
      <c r="J34" s="35">
        <f>IFERROR(Table2[[#This Row],[pips+]]/Table2[[#This Row],[pips-]], 0)</f>
        <v>0</v>
      </c>
      <c r="K34" s="51"/>
      <c r="L34" s="52"/>
      <c r="M34" s="60"/>
      <c r="N34" s="61"/>
      <c r="O34" s="62">
        <f>Table2[[#This Row],[profit+]]-Table2[[#This Row],[profit-]]</f>
        <v>0</v>
      </c>
      <c r="P34" s="56">
        <f t="shared" si="1"/>
        <v>0</v>
      </c>
      <c r="Q34" s="67">
        <f>Table2[[#This Row],[PIPS]]+(Table2[[#This Row],[TP]]*5)+(Table2[[#This Row],[CLOSE]]*2)-Table2[[#This Row],[SL]]</f>
        <v>0</v>
      </c>
    </row>
    <row r="35" spans="1:17" ht="82.95" customHeight="1" x14ac:dyDescent="0.3">
      <c r="A35" s="69">
        <v>33</v>
      </c>
      <c r="B35" s="44"/>
      <c r="C35" s="64"/>
      <c r="D35" s="46">
        <f>SUM(Table2[[#This Row],[SL]:[TP]])</f>
        <v>0</v>
      </c>
      <c r="E35" s="47"/>
      <c r="F35" s="48"/>
      <c r="G35" s="49"/>
      <c r="H35" s="50"/>
      <c r="I35" s="35">
        <f t="shared" si="0"/>
        <v>0</v>
      </c>
      <c r="J35" s="35">
        <f>IFERROR(Table2[[#This Row],[pips+]]/Table2[[#This Row],[pips-]], 0)</f>
        <v>0</v>
      </c>
      <c r="K35" s="51"/>
      <c r="L35" s="52"/>
      <c r="M35" s="60"/>
      <c r="N35" s="61"/>
      <c r="O35" s="62">
        <f>Table2[[#This Row],[profit+]]-Table2[[#This Row],[profit-]]</f>
        <v>0</v>
      </c>
      <c r="P35" s="56">
        <f t="shared" si="1"/>
        <v>0</v>
      </c>
      <c r="Q35" s="67">
        <f>Table2[[#This Row],[PIPS]]+(Table2[[#This Row],[TP]]*5)+(Table2[[#This Row],[CLOSE]]*2)-Table2[[#This Row],[SL]]</f>
        <v>0</v>
      </c>
    </row>
    <row r="36" spans="1:17" ht="82.95" customHeight="1" x14ac:dyDescent="0.3">
      <c r="A36" s="68">
        <v>34</v>
      </c>
      <c r="B36" s="44"/>
      <c r="C36" s="64"/>
      <c r="D36" s="46">
        <f>SUM(Table2[[#This Row],[SL]:[TP]])</f>
        <v>0</v>
      </c>
      <c r="E36" s="47"/>
      <c r="F36" s="48"/>
      <c r="G36" s="49"/>
      <c r="H36" s="50"/>
      <c r="I36" s="35">
        <f t="shared" si="0"/>
        <v>0</v>
      </c>
      <c r="J36" s="35">
        <f>IFERROR(Table2[[#This Row],[pips+]]/Table2[[#This Row],[pips-]], 0)</f>
        <v>0</v>
      </c>
      <c r="K36" s="51"/>
      <c r="L36" s="52"/>
      <c r="M36" s="60"/>
      <c r="N36" s="61"/>
      <c r="O36" s="62">
        <f>Table2[[#This Row],[profit+]]-Table2[[#This Row],[profit-]]</f>
        <v>0</v>
      </c>
      <c r="P36" s="56">
        <f t="shared" si="1"/>
        <v>0</v>
      </c>
      <c r="Q36" s="67">
        <f>Table2[[#This Row],[PIPS]]+(Table2[[#This Row],[TP]]*5)+(Table2[[#This Row],[CLOSE]]*2)-Table2[[#This Row],[SL]]</f>
        <v>0</v>
      </c>
    </row>
    <row r="37" spans="1:17" ht="82.95" customHeight="1" x14ac:dyDescent="0.3">
      <c r="A37" s="69">
        <v>35</v>
      </c>
      <c r="B37" s="44"/>
      <c r="C37" s="64"/>
      <c r="D37" s="46">
        <f>SUM(Table2[[#This Row],[SL]:[TP]])</f>
        <v>0</v>
      </c>
      <c r="E37" s="47"/>
      <c r="F37" s="48"/>
      <c r="G37" s="49"/>
      <c r="H37" s="50"/>
      <c r="I37" s="35">
        <f t="shared" si="0"/>
        <v>0</v>
      </c>
      <c r="J37" s="35">
        <f>IFERROR(Table2[[#This Row],[pips+]]/Table2[[#This Row],[pips-]], 0)</f>
        <v>0</v>
      </c>
      <c r="K37" s="51"/>
      <c r="L37" s="52"/>
      <c r="M37" s="60"/>
      <c r="N37" s="61"/>
      <c r="O37" s="62">
        <f>Table2[[#This Row],[profit+]]-Table2[[#This Row],[profit-]]</f>
        <v>0</v>
      </c>
      <c r="P37" s="56">
        <f t="shared" si="1"/>
        <v>0</v>
      </c>
      <c r="Q37" s="67">
        <f>Table2[[#This Row],[PIPS]]+(Table2[[#This Row],[TP]]*5)+(Table2[[#This Row],[CLOSE]]*2)-Table2[[#This Row],[SL]]</f>
        <v>0</v>
      </c>
    </row>
    <row r="38" spans="1:17" ht="82.95" customHeight="1" x14ac:dyDescent="0.3">
      <c r="A38" s="68">
        <v>36</v>
      </c>
      <c r="B38" s="44"/>
      <c r="C38" s="64"/>
      <c r="D38" s="46">
        <f>SUM(Table2[[#This Row],[SL]:[TP]])</f>
        <v>0</v>
      </c>
      <c r="E38" s="47"/>
      <c r="F38" s="48"/>
      <c r="G38" s="49"/>
      <c r="H38" s="50"/>
      <c r="I38" s="35">
        <f t="shared" si="0"/>
        <v>0</v>
      </c>
      <c r="J38" s="35">
        <f>IFERROR(Table2[[#This Row],[pips+]]/Table2[[#This Row],[pips-]], 0)</f>
        <v>0</v>
      </c>
      <c r="K38" s="51"/>
      <c r="L38" s="52"/>
      <c r="M38" s="60"/>
      <c r="N38" s="61"/>
      <c r="O38" s="62">
        <f>Table2[[#This Row],[profit+]]-Table2[[#This Row],[profit-]]</f>
        <v>0</v>
      </c>
      <c r="P38" s="56">
        <f t="shared" si="1"/>
        <v>0</v>
      </c>
      <c r="Q38" s="67">
        <f>Table2[[#This Row],[PIPS]]+(Table2[[#This Row],[TP]]*5)+(Table2[[#This Row],[CLOSE]]*2)-Table2[[#This Row],[SL]]</f>
        <v>0</v>
      </c>
    </row>
    <row r="39" spans="1:17" ht="82.95" customHeight="1" x14ac:dyDescent="0.3">
      <c r="A39" s="69">
        <v>37</v>
      </c>
      <c r="B39" s="44"/>
      <c r="C39" s="64"/>
      <c r="D39" s="46">
        <f>SUM(Table2[[#This Row],[SL]:[TP]])</f>
        <v>0</v>
      </c>
      <c r="E39" s="47"/>
      <c r="F39" s="48"/>
      <c r="G39" s="49"/>
      <c r="H39" s="50"/>
      <c r="I39" s="35">
        <f t="shared" si="0"/>
        <v>0</v>
      </c>
      <c r="J39" s="35">
        <f>IFERROR(Table2[[#This Row],[pips+]]/Table2[[#This Row],[pips-]], 0)</f>
        <v>0</v>
      </c>
      <c r="K39" s="51"/>
      <c r="L39" s="52"/>
      <c r="M39" s="60"/>
      <c r="N39" s="61"/>
      <c r="O39" s="62">
        <f>Table2[[#This Row],[profit+]]-Table2[[#This Row],[profit-]]</f>
        <v>0</v>
      </c>
      <c r="P39" s="56">
        <f t="shared" si="1"/>
        <v>0</v>
      </c>
      <c r="Q39" s="67">
        <f>Table2[[#This Row],[PIPS]]+(Table2[[#This Row],[TP]]*5)+(Table2[[#This Row],[CLOSE]]*2)-Table2[[#This Row],[SL]]</f>
        <v>0</v>
      </c>
    </row>
    <row r="40" spans="1:17" ht="82.95" customHeight="1" x14ac:dyDescent="0.3">
      <c r="A40" s="68">
        <v>38</v>
      </c>
      <c r="B40" s="44"/>
      <c r="C40" s="64"/>
      <c r="D40" s="46">
        <f>SUM(Table2[[#This Row],[SL]:[TP]])</f>
        <v>0</v>
      </c>
      <c r="E40" s="47"/>
      <c r="F40" s="48"/>
      <c r="G40" s="49"/>
      <c r="H40" s="50"/>
      <c r="I40" s="35">
        <f t="shared" si="0"/>
        <v>0</v>
      </c>
      <c r="J40" s="35">
        <f>IFERROR(Table2[[#This Row],[pips+]]/Table2[[#This Row],[pips-]], 0)</f>
        <v>0</v>
      </c>
      <c r="K40" s="51"/>
      <c r="L40" s="52"/>
      <c r="M40" s="60"/>
      <c r="N40" s="61"/>
      <c r="O40" s="62">
        <f>Table2[[#This Row],[profit+]]-Table2[[#This Row],[profit-]]</f>
        <v>0</v>
      </c>
      <c r="P40" s="56">
        <f t="shared" si="1"/>
        <v>0</v>
      </c>
      <c r="Q40" s="67">
        <f>Table2[[#This Row],[PIPS]]+(Table2[[#This Row],[TP]]*5)+(Table2[[#This Row],[CLOSE]]*2)-Table2[[#This Row],[SL]]</f>
        <v>0</v>
      </c>
    </row>
    <row r="41" spans="1:17" ht="82.95" customHeight="1" x14ac:dyDescent="0.3">
      <c r="A41" s="69">
        <v>39</v>
      </c>
      <c r="B41" s="44"/>
      <c r="C41" s="64"/>
      <c r="D41" s="46">
        <f>SUM(Table2[[#This Row],[SL]:[TP]])</f>
        <v>0</v>
      </c>
      <c r="E41" s="47"/>
      <c r="F41" s="48"/>
      <c r="G41" s="49"/>
      <c r="H41" s="50"/>
      <c r="I41" s="35">
        <f t="shared" si="0"/>
        <v>0</v>
      </c>
      <c r="J41" s="35">
        <f>IFERROR(Table2[[#This Row],[pips+]]/Table2[[#This Row],[pips-]], 0)</f>
        <v>0</v>
      </c>
      <c r="K41" s="51"/>
      <c r="L41" s="52"/>
      <c r="M41" s="60"/>
      <c r="N41" s="61"/>
      <c r="O41" s="62">
        <f>Table2[[#This Row],[profit+]]-Table2[[#This Row],[profit-]]</f>
        <v>0</v>
      </c>
      <c r="P41" s="56">
        <f t="shared" si="1"/>
        <v>0</v>
      </c>
      <c r="Q41" s="67">
        <f>Table2[[#This Row],[PIPS]]+(Table2[[#This Row],[TP]]*5)+(Table2[[#This Row],[CLOSE]]*2)-Table2[[#This Row],[SL]]</f>
        <v>0</v>
      </c>
    </row>
    <row r="42" spans="1:17" ht="82.95" customHeight="1" x14ac:dyDescent="0.3">
      <c r="A42" s="68">
        <v>40</v>
      </c>
      <c r="B42" s="44"/>
      <c r="C42" s="64"/>
      <c r="D42" s="46">
        <f>SUM(Table2[[#This Row],[SL]:[TP]])</f>
        <v>0</v>
      </c>
      <c r="E42" s="47"/>
      <c r="F42" s="48"/>
      <c r="G42" s="49"/>
      <c r="H42" s="50"/>
      <c r="I42" s="35">
        <f t="shared" si="0"/>
        <v>0</v>
      </c>
      <c r="J42" s="35">
        <f>IFERROR(Table2[[#This Row],[pips+]]/Table2[[#This Row],[pips-]], 0)</f>
        <v>0</v>
      </c>
      <c r="K42" s="51"/>
      <c r="L42" s="52"/>
      <c r="M42" s="60"/>
      <c r="N42" s="61"/>
      <c r="O42" s="62">
        <f>Table2[[#This Row],[profit+]]-Table2[[#This Row],[profit-]]</f>
        <v>0</v>
      </c>
      <c r="P42" s="56">
        <f t="shared" si="1"/>
        <v>0</v>
      </c>
      <c r="Q42" s="67">
        <f>Table2[[#This Row],[PIPS]]+(Table2[[#This Row],[TP]]*5)+(Table2[[#This Row],[CLOSE]]*2)-Table2[[#This Row],[SL]]</f>
        <v>0</v>
      </c>
    </row>
    <row r="43" spans="1:17" ht="82.95" customHeight="1" x14ac:dyDescent="0.3">
      <c r="A43" s="69">
        <v>41</v>
      </c>
      <c r="B43" s="44"/>
      <c r="C43" s="64"/>
      <c r="D43" s="46">
        <f>SUM(Table2[[#This Row],[SL]:[TP]])</f>
        <v>0</v>
      </c>
      <c r="E43" s="47"/>
      <c r="F43" s="48"/>
      <c r="G43" s="49"/>
      <c r="H43" s="50"/>
      <c r="I43" s="35">
        <f t="shared" si="0"/>
        <v>0</v>
      </c>
      <c r="J43" s="35">
        <f>IFERROR(Table2[[#This Row],[pips+]]/Table2[[#This Row],[pips-]], 0)</f>
        <v>0</v>
      </c>
      <c r="K43" s="51"/>
      <c r="L43" s="52"/>
      <c r="M43" s="60"/>
      <c r="N43" s="61"/>
      <c r="O43" s="62">
        <f>Table2[[#This Row],[profit+]]-Table2[[#This Row],[profit-]]</f>
        <v>0</v>
      </c>
      <c r="P43" s="56">
        <f t="shared" si="1"/>
        <v>0</v>
      </c>
      <c r="Q43" s="67">
        <f>Table2[[#This Row],[PIPS]]+(Table2[[#This Row],[TP]]*5)+(Table2[[#This Row],[CLOSE]]*2)-Table2[[#This Row],[SL]]</f>
        <v>0</v>
      </c>
    </row>
    <row r="44" spans="1:17" ht="82.95" customHeight="1" x14ac:dyDescent="0.3">
      <c r="A44" s="68">
        <v>42</v>
      </c>
      <c r="B44" s="44"/>
      <c r="C44" s="64"/>
      <c r="D44" s="46">
        <f>SUM(Table2[[#This Row],[SL]:[TP]])</f>
        <v>0</v>
      </c>
      <c r="E44" s="47"/>
      <c r="F44" s="48"/>
      <c r="G44" s="49"/>
      <c r="H44" s="50"/>
      <c r="I44" s="35">
        <f t="shared" si="0"/>
        <v>0</v>
      </c>
      <c r="J44" s="35">
        <f>IFERROR(Table2[[#This Row],[pips+]]/Table2[[#This Row],[pips-]], 0)</f>
        <v>0</v>
      </c>
      <c r="K44" s="51"/>
      <c r="L44" s="52"/>
      <c r="M44" s="60"/>
      <c r="N44" s="61"/>
      <c r="O44" s="62">
        <f>Table2[[#This Row],[profit+]]-Table2[[#This Row],[profit-]]</f>
        <v>0</v>
      </c>
      <c r="P44" s="56">
        <f t="shared" si="1"/>
        <v>0</v>
      </c>
      <c r="Q44" s="67">
        <f>Table2[[#This Row],[PIPS]]+(Table2[[#This Row],[TP]]*5)+(Table2[[#This Row],[CLOSE]]*2)-Table2[[#This Row],[SL]]</f>
        <v>0</v>
      </c>
    </row>
    <row r="45" spans="1:17" ht="82.95" customHeight="1" x14ac:dyDescent="0.3">
      <c r="A45" s="69">
        <v>43</v>
      </c>
      <c r="B45" s="44"/>
      <c r="C45" s="64"/>
      <c r="D45" s="46">
        <f>SUM(Table2[[#This Row],[SL]:[TP]])</f>
        <v>0</v>
      </c>
      <c r="E45" s="47"/>
      <c r="F45" s="48"/>
      <c r="G45" s="49"/>
      <c r="H45" s="50"/>
      <c r="I45" s="35">
        <f t="shared" si="0"/>
        <v>0</v>
      </c>
      <c r="J45" s="35">
        <f>IFERROR(Table2[[#This Row],[pips+]]/Table2[[#This Row],[pips-]], 0)</f>
        <v>0</v>
      </c>
      <c r="K45" s="51"/>
      <c r="L45" s="52"/>
      <c r="M45" s="60"/>
      <c r="N45" s="61"/>
      <c r="O45" s="62">
        <f>Table2[[#This Row],[profit+]]-Table2[[#This Row],[profit-]]</f>
        <v>0</v>
      </c>
      <c r="P45" s="56">
        <f t="shared" si="1"/>
        <v>0</v>
      </c>
      <c r="Q45" s="67">
        <f>Table2[[#This Row],[PIPS]]+(Table2[[#This Row],[TP]]*5)+(Table2[[#This Row],[CLOSE]]*2)-Table2[[#This Row],[SL]]</f>
        <v>0</v>
      </c>
    </row>
    <row r="46" spans="1:17" ht="82.95" customHeight="1" x14ac:dyDescent="0.3">
      <c r="A46" s="68">
        <v>44</v>
      </c>
      <c r="B46" s="44"/>
      <c r="C46" s="64"/>
      <c r="D46" s="46">
        <f>SUM(Table2[[#This Row],[SL]:[TP]])</f>
        <v>0</v>
      </c>
      <c r="E46" s="47"/>
      <c r="F46" s="48"/>
      <c r="G46" s="49"/>
      <c r="H46" s="50"/>
      <c r="I46" s="35">
        <f t="shared" si="0"/>
        <v>0</v>
      </c>
      <c r="J46" s="35">
        <f>IFERROR(Table2[[#This Row],[pips+]]/Table2[[#This Row],[pips-]], 0)</f>
        <v>0</v>
      </c>
      <c r="K46" s="51"/>
      <c r="L46" s="52"/>
      <c r="M46" s="60"/>
      <c r="N46" s="61"/>
      <c r="O46" s="62">
        <f>Table2[[#This Row],[profit+]]-Table2[[#This Row],[profit-]]</f>
        <v>0</v>
      </c>
      <c r="P46" s="56">
        <f t="shared" si="1"/>
        <v>0</v>
      </c>
      <c r="Q46" s="67">
        <f>Table2[[#This Row],[PIPS]]+(Table2[[#This Row],[TP]]*5)+(Table2[[#This Row],[CLOSE]]*2)-Table2[[#This Row],[SL]]</f>
        <v>0</v>
      </c>
    </row>
    <row r="47" spans="1:17" ht="82.95" customHeight="1" x14ac:dyDescent="0.3">
      <c r="A47" s="69">
        <v>45</v>
      </c>
      <c r="B47" s="44"/>
      <c r="C47" s="64"/>
      <c r="D47" s="46">
        <f>SUM(Table2[[#This Row],[SL]:[TP]])</f>
        <v>0</v>
      </c>
      <c r="E47" s="47"/>
      <c r="F47" s="48"/>
      <c r="G47" s="49"/>
      <c r="H47" s="50"/>
      <c r="I47" s="35">
        <f t="shared" si="0"/>
        <v>0</v>
      </c>
      <c r="J47" s="35">
        <f>IFERROR(Table2[[#This Row],[pips+]]/Table2[[#This Row],[pips-]], 0)</f>
        <v>0</v>
      </c>
      <c r="K47" s="51"/>
      <c r="L47" s="52"/>
      <c r="M47" s="60"/>
      <c r="N47" s="61"/>
      <c r="O47" s="62">
        <f>Table2[[#This Row],[profit+]]-Table2[[#This Row],[profit-]]</f>
        <v>0</v>
      </c>
      <c r="P47" s="56">
        <f t="shared" si="1"/>
        <v>0</v>
      </c>
      <c r="Q47" s="67">
        <f>Table2[[#This Row],[PIPS]]+(Table2[[#This Row],[TP]]*5)+(Table2[[#This Row],[CLOSE]]*2)-Table2[[#This Row],[SL]]</f>
        <v>0</v>
      </c>
    </row>
    <row r="48" spans="1:17" ht="82.95" customHeight="1" x14ac:dyDescent="0.3">
      <c r="A48" s="68">
        <v>46</v>
      </c>
      <c r="B48" s="44"/>
      <c r="C48" s="64"/>
      <c r="D48" s="46">
        <f>SUM(Table2[[#This Row],[SL]:[TP]])</f>
        <v>0</v>
      </c>
      <c r="E48" s="47"/>
      <c r="F48" s="48"/>
      <c r="G48" s="49"/>
      <c r="H48" s="50"/>
      <c r="I48" s="35">
        <f t="shared" si="0"/>
        <v>0</v>
      </c>
      <c r="J48" s="35">
        <f>IFERROR(Table2[[#This Row],[pips+]]/Table2[[#This Row],[pips-]], 0)</f>
        <v>0</v>
      </c>
      <c r="K48" s="51"/>
      <c r="L48" s="52"/>
      <c r="M48" s="60"/>
      <c r="N48" s="61"/>
      <c r="O48" s="62">
        <f>Table2[[#This Row],[profit+]]-Table2[[#This Row],[profit-]]</f>
        <v>0</v>
      </c>
      <c r="P48" s="56">
        <f t="shared" si="1"/>
        <v>0</v>
      </c>
      <c r="Q48" s="67">
        <f>Table2[[#This Row],[PIPS]]+(Table2[[#This Row],[TP]]*5)+(Table2[[#This Row],[CLOSE]]*2)-Table2[[#This Row],[SL]]</f>
        <v>0</v>
      </c>
    </row>
    <row r="49" spans="1:17" ht="82.95" customHeight="1" x14ac:dyDescent="0.3">
      <c r="A49" s="69">
        <v>47</v>
      </c>
      <c r="B49" s="44"/>
      <c r="C49" s="64"/>
      <c r="D49" s="46">
        <f>SUM(Table2[[#This Row],[SL]:[TP]])</f>
        <v>0</v>
      </c>
      <c r="E49" s="47"/>
      <c r="F49" s="48"/>
      <c r="G49" s="49"/>
      <c r="H49" s="50"/>
      <c r="I49" s="35">
        <f t="shared" si="0"/>
        <v>0</v>
      </c>
      <c r="J49" s="35">
        <f>IFERROR(Table2[[#This Row],[pips+]]/Table2[[#This Row],[pips-]], 0)</f>
        <v>0</v>
      </c>
      <c r="K49" s="51"/>
      <c r="L49" s="52"/>
      <c r="M49" s="60"/>
      <c r="N49" s="61"/>
      <c r="O49" s="62">
        <f>Table2[[#This Row],[profit+]]-Table2[[#This Row],[profit-]]</f>
        <v>0</v>
      </c>
      <c r="P49" s="56">
        <f t="shared" si="1"/>
        <v>0</v>
      </c>
      <c r="Q49" s="67">
        <f>Table2[[#This Row],[PIPS]]+(Table2[[#This Row],[TP]]*5)+(Table2[[#This Row],[CLOSE]]*2)-Table2[[#This Row],[SL]]</f>
        <v>0</v>
      </c>
    </row>
    <row r="50" spans="1:17" ht="82.95" customHeight="1" x14ac:dyDescent="0.3">
      <c r="A50" s="68">
        <v>48</v>
      </c>
      <c r="B50" s="44"/>
      <c r="C50" s="64"/>
      <c r="D50" s="46">
        <f>SUM(Table2[[#This Row],[SL]:[TP]])</f>
        <v>0</v>
      </c>
      <c r="E50" s="47"/>
      <c r="F50" s="48"/>
      <c r="G50" s="49"/>
      <c r="H50" s="50"/>
      <c r="I50" s="35">
        <f t="shared" si="0"/>
        <v>0</v>
      </c>
      <c r="J50" s="35">
        <f>IFERROR(Table2[[#This Row],[pips+]]/Table2[[#This Row],[pips-]], 0)</f>
        <v>0</v>
      </c>
      <c r="K50" s="51"/>
      <c r="L50" s="52"/>
      <c r="M50" s="60"/>
      <c r="N50" s="61"/>
      <c r="O50" s="62">
        <f>Table2[[#This Row],[profit+]]-Table2[[#This Row],[profit-]]</f>
        <v>0</v>
      </c>
      <c r="P50" s="56">
        <f t="shared" si="1"/>
        <v>0</v>
      </c>
      <c r="Q50" s="67">
        <f>Table2[[#This Row],[PIPS]]+(Table2[[#This Row],[TP]]*5)+(Table2[[#This Row],[CLOSE]]*2)-Table2[[#This Row],[SL]]</f>
        <v>0</v>
      </c>
    </row>
    <row r="51" spans="1:17" ht="82.95" customHeight="1" x14ac:dyDescent="0.3">
      <c r="A51" s="69">
        <v>49</v>
      </c>
      <c r="B51" s="44"/>
      <c r="C51" s="64"/>
      <c r="D51" s="46">
        <f>SUM(Table2[[#This Row],[SL]:[TP]])</f>
        <v>0</v>
      </c>
      <c r="E51" s="47"/>
      <c r="F51" s="48"/>
      <c r="G51" s="49"/>
      <c r="H51" s="50"/>
      <c r="I51" s="35">
        <f t="shared" si="0"/>
        <v>0</v>
      </c>
      <c r="J51" s="35">
        <f>IFERROR(Table2[[#This Row],[pips+]]/Table2[[#This Row],[pips-]], 0)</f>
        <v>0</v>
      </c>
      <c r="K51" s="51"/>
      <c r="L51" s="52"/>
      <c r="M51" s="60"/>
      <c r="N51" s="61"/>
      <c r="O51" s="62">
        <f>Table2[[#This Row],[profit+]]-Table2[[#This Row],[profit-]]</f>
        <v>0</v>
      </c>
      <c r="P51" s="56">
        <f t="shared" si="1"/>
        <v>0</v>
      </c>
      <c r="Q51" s="67">
        <f>Table2[[#This Row],[PIPS]]+(Table2[[#This Row],[TP]]*5)+(Table2[[#This Row],[CLOSE]]*2)-Table2[[#This Row],[SL]]</f>
        <v>0</v>
      </c>
    </row>
    <row r="52" spans="1:17" ht="82.95" customHeight="1" x14ac:dyDescent="0.3">
      <c r="A52" s="68">
        <v>50</v>
      </c>
      <c r="B52" s="44"/>
      <c r="C52" s="64"/>
      <c r="D52" s="46">
        <f>SUM(Table2[[#This Row],[SL]:[TP]])</f>
        <v>0</v>
      </c>
      <c r="E52" s="47"/>
      <c r="F52" s="48"/>
      <c r="G52" s="49"/>
      <c r="H52" s="50"/>
      <c r="I52" s="35">
        <f t="shared" si="0"/>
        <v>0</v>
      </c>
      <c r="J52" s="35">
        <f>IFERROR(Table2[[#This Row],[pips+]]/Table2[[#This Row],[pips-]], 0)</f>
        <v>0</v>
      </c>
      <c r="K52" s="51"/>
      <c r="L52" s="52"/>
      <c r="M52" s="60"/>
      <c r="N52" s="61"/>
      <c r="O52" s="62">
        <f>Table2[[#This Row],[profit+]]-Table2[[#This Row],[profit-]]</f>
        <v>0</v>
      </c>
      <c r="P52" s="56">
        <f t="shared" si="1"/>
        <v>0</v>
      </c>
      <c r="Q52" s="67">
        <f>Table2[[#This Row],[PIPS]]+(Table2[[#This Row],[TP]]*5)+(Table2[[#This Row],[CLOSE]]*2)-Table2[[#This Row],[SL]]</f>
        <v>0</v>
      </c>
    </row>
    <row r="53" spans="1:17" ht="82.95" customHeight="1" x14ac:dyDescent="0.3">
      <c r="A53" s="69">
        <v>51</v>
      </c>
      <c r="B53" s="44"/>
      <c r="C53" s="45"/>
      <c r="D53" s="46">
        <f>SUM(Table2[[#This Row],[SL]:[TP]])</f>
        <v>0</v>
      </c>
      <c r="E53" s="47"/>
      <c r="F53" s="48"/>
      <c r="G53" s="49"/>
      <c r="H53" s="50"/>
      <c r="I53" s="35">
        <f t="shared" si="0"/>
        <v>0</v>
      </c>
      <c r="J53" s="35">
        <f>IFERROR(Table2[[#This Row],[pips+]]/Table2[[#This Row],[pips-]], 0)</f>
        <v>0</v>
      </c>
      <c r="K53" s="51"/>
      <c r="L53" s="52"/>
      <c r="M53" s="60"/>
      <c r="N53" s="61"/>
      <c r="O53" s="62">
        <f>Table2[[#This Row],[profit+]]-Table2[[#This Row],[profit-]]</f>
        <v>0</v>
      </c>
      <c r="P53" s="56">
        <f t="shared" si="1"/>
        <v>0</v>
      </c>
      <c r="Q53" s="67">
        <f>Table2[[#This Row],[PIPS]]+(Table2[[#This Row],[TP]]*5)+(Table2[[#This Row],[CLOSE]]*2)-Table2[[#This Row],[SL]]</f>
        <v>0</v>
      </c>
    </row>
    <row r="54" spans="1:17" ht="82.95" customHeight="1" x14ac:dyDescent="0.3">
      <c r="A54" s="68">
        <v>52</v>
      </c>
      <c r="B54" s="44"/>
      <c r="C54" s="64"/>
      <c r="D54" s="46">
        <f>SUM(Table2[[#This Row],[SL]:[TP]])</f>
        <v>0</v>
      </c>
      <c r="E54" s="47"/>
      <c r="F54" s="48"/>
      <c r="G54" s="49"/>
      <c r="H54" s="50"/>
      <c r="I54" s="35">
        <f t="shared" si="0"/>
        <v>0</v>
      </c>
      <c r="J54" s="35">
        <f>IFERROR(Table2[[#This Row],[pips+]]/Table2[[#This Row],[pips-]], 0)</f>
        <v>0</v>
      </c>
      <c r="K54" s="51"/>
      <c r="L54" s="52"/>
      <c r="M54" s="60"/>
      <c r="N54" s="61"/>
      <c r="O54" s="62">
        <f>Table2[[#This Row],[profit+]]-Table2[[#This Row],[profit-]]</f>
        <v>0</v>
      </c>
      <c r="P54" s="56">
        <f t="shared" si="1"/>
        <v>0</v>
      </c>
      <c r="Q54" s="67">
        <f>Table2[[#This Row],[PIPS]]+(Table2[[#This Row],[TP]]*5)+(Table2[[#This Row],[CLOSE]]*2)-Table2[[#This Row],[SL]]</f>
        <v>0</v>
      </c>
    </row>
    <row r="55" spans="1:17" ht="82.95" customHeight="1" x14ac:dyDescent="0.3">
      <c r="A55" s="69">
        <v>53</v>
      </c>
      <c r="B55" s="44"/>
      <c r="C55" s="64"/>
      <c r="D55" s="46">
        <f>SUM(Table2[[#This Row],[SL]:[TP]])</f>
        <v>0</v>
      </c>
      <c r="E55" s="47"/>
      <c r="F55" s="48"/>
      <c r="G55" s="49"/>
      <c r="H55" s="50"/>
      <c r="I55" s="35">
        <f t="shared" si="0"/>
        <v>0</v>
      </c>
      <c r="J55" s="35">
        <f>IFERROR(Table2[[#This Row],[pips+]]/Table2[[#This Row],[pips-]], 0)</f>
        <v>0</v>
      </c>
      <c r="K55" s="51"/>
      <c r="L55" s="52"/>
      <c r="M55" s="60"/>
      <c r="N55" s="61"/>
      <c r="O55" s="62">
        <f>Table2[[#This Row],[profit+]]-Table2[[#This Row],[profit-]]</f>
        <v>0</v>
      </c>
      <c r="P55" s="56">
        <f t="shared" si="1"/>
        <v>0</v>
      </c>
      <c r="Q55" s="67">
        <f>Table2[[#This Row],[PIPS]]+(Table2[[#This Row],[TP]]*5)+(Table2[[#This Row],[CLOSE]]*2)-Table2[[#This Row],[SL]]</f>
        <v>0</v>
      </c>
    </row>
    <row r="56" spans="1:17" ht="82.95" customHeight="1" x14ac:dyDescent="0.3">
      <c r="A56" s="68">
        <v>54</v>
      </c>
      <c r="B56" s="44"/>
      <c r="C56" s="64"/>
      <c r="D56" s="46">
        <f>SUM(Table2[[#This Row],[SL]:[TP]])</f>
        <v>0</v>
      </c>
      <c r="E56" s="47"/>
      <c r="F56" s="48"/>
      <c r="G56" s="49"/>
      <c r="H56" s="50"/>
      <c r="I56" s="35">
        <f t="shared" si="0"/>
        <v>0</v>
      </c>
      <c r="J56" s="35">
        <f>IFERROR(Table2[[#This Row],[pips+]]/Table2[[#This Row],[pips-]], 0)</f>
        <v>0</v>
      </c>
      <c r="K56" s="51"/>
      <c r="L56" s="52"/>
      <c r="M56" s="60"/>
      <c r="N56" s="61"/>
      <c r="O56" s="62">
        <f>Table2[[#This Row],[profit+]]-Table2[[#This Row],[profit-]]</f>
        <v>0</v>
      </c>
      <c r="P56" s="56">
        <f t="shared" si="1"/>
        <v>0</v>
      </c>
      <c r="Q56" s="67">
        <f>Table2[[#This Row],[PIPS]]+(Table2[[#This Row],[TP]]*5)+(Table2[[#This Row],[CLOSE]]*2)-Table2[[#This Row],[SL]]</f>
        <v>0</v>
      </c>
    </row>
    <row r="57" spans="1:17" ht="82.95" customHeight="1" x14ac:dyDescent="0.3">
      <c r="A57" s="69">
        <v>55</v>
      </c>
      <c r="B57" s="44"/>
      <c r="C57" s="64"/>
      <c r="D57" s="46">
        <f>SUM(Table2[[#This Row],[SL]:[TP]])</f>
        <v>0</v>
      </c>
      <c r="E57" s="47"/>
      <c r="F57" s="48"/>
      <c r="G57" s="49"/>
      <c r="H57" s="50"/>
      <c r="I57" s="35">
        <f t="shared" si="0"/>
        <v>0</v>
      </c>
      <c r="J57" s="35">
        <f>IFERROR(Table2[[#This Row],[pips+]]/Table2[[#This Row],[pips-]], 0)</f>
        <v>0</v>
      </c>
      <c r="K57" s="51"/>
      <c r="L57" s="52"/>
      <c r="M57" s="60"/>
      <c r="N57" s="61"/>
      <c r="O57" s="62">
        <f>Table2[[#This Row],[profit+]]-Table2[[#This Row],[profit-]]</f>
        <v>0</v>
      </c>
      <c r="P57" s="56">
        <f t="shared" si="1"/>
        <v>0</v>
      </c>
      <c r="Q57" s="67">
        <f>Table2[[#This Row],[PIPS]]+(Table2[[#This Row],[TP]]*5)+(Table2[[#This Row],[CLOSE]]*2)-Table2[[#This Row],[SL]]</f>
        <v>0</v>
      </c>
    </row>
    <row r="58" spans="1:17" ht="82.95" customHeight="1" x14ac:dyDescent="0.3">
      <c r="A58" s="68">
        <v>56</v>
      </c>
      <c r="B58" s="44"/>
      <c r="C58" s="70"/>
      <c r="D58" s="46">
        <f>SUM(Table2[[#This Row],[SL]:[TP]])</f>
        <v>0</v>
      </c>
      <c r="E58" s="47"/>
      <c r="F58" s="48"/>
      <c r="G58" s="49"/>
      <c r="H58" s="50"/>
      <c r="I58" s="35">
        <f t="shared" si="0"/>
        <v>0</v>
      </c>
      <c r="J58" s="35">
        <f>IFERROR(Table2[[#This Row],[pips+]]/Table2[[#This Row],[pips-]], 0)</f>
        <v>0</v>
      </c>
      <c r="K58" s="51"/>
      <c r="L58" s="52"/>
      <c r="M58" s="60"/>
      <c r="N58" s="61"/>
      <c r="O58" s="62">
        <f>Table2[[#This Row],[profit+]]-Table2[[#This Row],[profit-]]</f>
        <v>0</v>
      </c>
      <c r="P58" s="56">
        <f t="shared" si="1"/>
        <v>0</v>
      </c>
      <c r="Q58" s="67">
        <f>Table2[[#This Row],[PIPS]]+(Table2[[#This Row],[TP]]*5)+(Table2[[#This Row],[CLOSE]]*2)-Table2[[#This Row],[SL]]</f>
        <v>0</v>
      </c>
    </row>
    <row r="59" spans="1:17" ht="82.95" customHeight="1" x14ac:dyDescent="0.3">
      <c r="A59" s="69">
        <v>57</v>
      </c>
      <c r="B59" s="44"/>
      <c r="C59" s="64"/>
      <c r="D59" s="46">
        <f>SUM(Table2[[#This Row],[SL]:[TP]])</f>
        <v>0</v>
      </c>
      <c r="E59" s="47"/>
      <c r="F59" s="48"/>
      <c r="G59" s="49"/>
      <c r="H59" s="50"/>
      <c r="I59" s="35">
        <f t="shared" si="0"/>
        <v>0</v>
      </c>
      <c r="J59" s="35">
        <f>IFERROR(Table2[[#This Row],[pips+]]/Table2[[#This Row],[pips-]], 0)</f>
        <v>0</v>
      </c>
      <c r="K59" s="51"/>
      <c r="L59" s="52"/>
      <c r="M59" s="60"/>
      <c r="N59" s="61"/>
      <c r="O59" s="62">
        <f>Table2[[#This Row],[profit+]]-Table2[[#This Row],[profit-]]</f>
        <v>0</v>
      </c>
      <c r="P59" s="56">
        <f t="shared" si="1"/>
        <v>0</v>
      </c>
      <c r="Q59" s="67">
        <f>Table2[[#This Row],[PIPS]]+(Table2[[#This Row],[TP]]*5)+(Table2[[#This Row],[CLOSE]]*2)-Table2[[#This Row],[SL]]</f>
        <v>0</v>
      </c>
    </row>
    <row r="60" spans="1:17" ht="82.95" customHeight="1" x14ac:dyDescent="0.3">
      <c r="A60" s="68">
        <v>58</v>
      </c>
      <c r="B60" s="44"/>
      <c r="C60" s="64"/>
      <c r="D60" s="46">
        <f>SUM(Table2[[#This Row],[SL]:[TP]])</f>
        <v>0</v>
      </c>
      <c r="E60" s="47"/>
      <c r="F60" s="48"/>
      <c r="G60" s="49"/>
      <c r="H60" s="50"/>
      <c r="I60" s="35">
        <f t="shared" si="0"/>
        <v>0</v>
      </c>
      <c r="J60" s="35">
        <f>IFERROR(Table2[[#This Row],[pips+]]/Table2[[#This Row],[pips-]], 0)</f>
        <v>0</v>
      </c>
      <c r="K60" s="51"/>
      <c r="L60" s="52"/>
      <c r="M60" s="60"/>
      <c r="N60" s="61"/>
      <c r="O60" s="62">
        <f>Table2[[#This Row],[profit+]]-Table2[[#This Row],[profit-]]</f>
        <v>0</v>
      </c>
      <c r="P60" s="56">
        <f t="shared" si="1"/>
        <v>0</v>
      </c>
      <c r="Q60" s="67">
        <f>Table2[[#This Row],[PIPS]]+(Table2[[#This Row],[TP]]*5)+(Table2[[#This Row],[CLOSE]]*2)-Table2[[#This Row],[SL]]</f>
        <v>0</v>
      </c>
    </row>
    <row r="61" spans="1:17" ht="82.95" customHeight="1" x14ac:dyDescent="0.3">
      <c r="A61" s="69">
        <v>59</v>
      </c>
      <c r="B61" s="44"/>
      <c r="C61" s="64"/>
      <c r="D61" s="46">
        <f>SUM(Table2[[#This Row],[SL]:[TP]])</f>
        <v>0</v>
      </c>
      <c r="E61" s="47"/>
      <c r="F61" s="48"/>
      <c r="G61" s="49"/>
      <c r="H61" s="50"/>
      <c r="I61" s="35">
        <f t="shared" si="0"/>
        <v>0</v>
      </c>
      <c r="J61" s="35">
        <f>IFERROR(Table2[[#This Row],[pips+]]/Table2[[#This Row],[pips-]], 0)</f>
        <v>0</v>
      </c>
      <c r="K61" s="51"/>
      <c r="L61" s="52"/>
      <c r="M61" s="60"/>
      <c r="N61" s="61"/>
      <c r="O61" s="62">
        <f>Table2[[#This Row],[profit+]]-Table2[[#This Row],[profit-]]</f>
        <v>0</v>
      </c>
      <c r="P61" s="56">
        <f t="shared" si="1"/>
        <v>0</v>
      </c>
      <c r="Q61" s="67">
        <f>Table2[[#This Row],[PIPS]]+(Table2[[#This Row],[TP]]*5)+(Table2[[#This Row],[CLOSE]]*2)-Table2[[#This Row],[SL]]</f>
        <v>0</v>
      </c>
    </row>
    <row r="62" spans="1:17" ht="82.95" customHeight="1" thickBot="1" x14ac:dyDescent="0.35">
      <c r="A62" s="71">
        <v>60</v>
      </c>
      <c r="B62" s="72"/>
      <c r="C62" s="73"/>
      <c r="D62" s="46">
        <f>SUM(Table2[[#This Row],[SL]:[TP]])</f>
        <v>0</v>
      </c>
      <c r="E62" s="74"/>
      <c r="F62" s="75"/>
      <c r="G62" s="76"/>
      <c r="H62" s="77"/>
      <c r="I62" s="35">
        <f t="shared" si="0"/>
        <v>0</v>
      </c>
      <c r="J62" s="35">
        <f>IFERROR(Table2[[#This Row],[pips+]]/Table2[[#This Row],[pips-]], 0)</f>
        <v>0</v>
      </c>
      <c r="K62" s="78"/>
      <c r="L62" s="79"/>
      <c r="M62" s="80"/>
      <c r="N62" s="81"/>
      <c r="O62" s="82">
        <f>Table2[[#This Row],[profit+]]-Table2[[#This Row],[profit-]]</f>
        <v>0</v>
      </c>
      <c r="P62" s="56">
        <f t="shared" si="1"/>
        <v>0</v>
      </c>
      <c r="Q62" s="67">
        <f>Table2[[#This Row],[PIPS]]+(Table2[[#This Row],[TP]]*5)+(Table2[[#This Row],[CLOSE]]*2)-Table2[[#This Row],[SL]]</f>
        <v>0</v>
      </c>
    </row>
  </sheetData>
  <mergeCells count="12">
    <mergeCell ref="X1:Y3"/>
    <mergeCell ref="A1:B1"/>
    <mergeCell ref="C1:D1"/>
    <mergeCell ref="M1:O1"/>
    <mergeCell ref="R1:S3"/>
    <mergeCell ref="T1:W3"/>
    <mergeCell ref="R4:S5"/>
    <mergeCell ref="T4:W5"/>
    <mergeCell ref="X4:Y5"/>
    <mergeCell ref="R6:S7"/>
    <mergeCell ref="T6:W7"/>
    <mergeCell ref="X6:Y7"/>
  </mergeCells>
  <conditionalFormatting sqref="Q3:Q62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P1:Q1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O3:O62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M1:O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DYNASTY GLORY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</dc:creator>
  <cp:lastModifiedBy>IMAN DARGAHI</cp:lastModifiedBy>
  <dcterms:created xsi:type="dcterms:W3CDTF">2015-06-05T18:17:20Z</dcterms:created>
  <dcterms:modified xsi:type="dcterms:W3CDTF">2026-10-20T19:09:17Z</dcterms:modified>
</cp:coreProperties>
</file>